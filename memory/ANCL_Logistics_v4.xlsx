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\ANC!\Excel sheets\2026-27\"/>
    </mc:Choice>
  </mc:AlternateContent>
  <xr:revisionPtr revIDLastSave="0" documentId="13_ncr:1_{12669B92-9E27-4ADF-B1FC-A4A792E502A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shboard" sheetId="1" r:id="rId1"/>
    <sheet name="Settings" sheetId="2" r:id="rId2"/>
    <sheet name="Apr 26" sheetId="3" r:id="rId3"/>
    <sheet name="May 26" sheetId="4" r:id="rId4"/>
    <sheet name="Jun 26" sheetId="5" r:id="rId5"/>
    <sheet name="Jul 26" sheetId="6" r:id="rId6"/>
    <sheet name="Aug 26" sheetId="7" r:id="rId7"/>
    <sheet name="Sep 26" sheetId="8" r:id="rId8"/>
    <sheet name="Oct 26" sheetId="9" r:id="rId9"/>
    <sheet name="Nov 26" sheetId="10" r:id="rId10"/>
    <sheet name="Dec 26" sheetId="11" r:id="rId11"/>
    <sheet name="Jan 27" sheetId="12" r:id="rId12"/>
    <sheet name="Feb 27" sheetId="13" r:id="rId13"/>
    <sheet name="Mar 27" sheetId="14" r:id="rId14"/>
    <sheet name="Rented Ledger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3" l="1"/>
  <c r="H5" i="3"/>
  <c r="H6" i="3"/>
  <c r="H105" i="15"/>
  <c r="G105" i="15"/>
  <c r="F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J5" i="15"/>
  <c r="J6" i="15" s="1"/>
  <c r="J7" i="15" s="1"/>
  <c r="J8" i="15" s="1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s="1"/>
  <c r="J44" i="15" s="1"/>
  <c r="J45" i="15" s="1"/>
  <c r="J46" i="15" s="1"/>
  <c r="J47" i="15" s="1"/>
  <c r="J48" i="15" s="1"/>
  <c r="J49" i="15" s="1"/>
  <c r="J50" i="15" s="1"/>
  <c r="J51" i="15" s="1"/>
  <c r="J52" i="15" s="1"/>
  <c r="J53" i="15" s="1"/>
  <c r="J54" i="15" s="1"/>
  <c r="J55" i="15" s="1"/>
  <c r="J56" i="15" s="1"/>
  <c r="J57" i="15" s="1"/>
  <c r="J58" i="15" s="1"/>
  <c r="J59" i="15" s="1"/>
  <c r="J60" i="15" s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J84" i="15" s="1"/>
  <c r="J85" i="15" s="1"/>
  <c r="J86" i="15" s="1"/>
  <c r="J87" i="15" s="1"/>
  <c r="J88" i="15" s="1"/>
  <c r="J89" i="15" s="1"/>
  <c r="J90" i="15" s="1"/>
  <c r="J91" i="15" s="1"/>
  <c r="J92" i="15" s="1"/>
  <c r="J93" i="15" s="1"/>
  <c r="J94" i="15" s="1"/>
  <c r="J95" i="15" s="1"/>
  <c r="J96" i="15" s="1"/>
  <c r="J97" i="15" s="1"/>
  <c r="J98" i="15" s="1"/>
  <c r="J99" i="15" s="1"/>
  <c r="J100" i="15" s="1"/>
  <c r="J101" i="15" s="1"/>
  <c r="J102" i="15" s="1"/>
  <c r="J103" i="15" s="1"/>
  <c r="J104" i="15" s="1"/>
  <c r="J105" i="15" s="1"/>
  <c r="I5" i="15"/>
  <c r="I105" i="15" s="1"/>
  <c r="F179" i="14"/>
  <c r="H177" i="14"/>
  <c r="H176" i="14"/>
  <c r="H169" i="14"/>
  <c r="A169" i="14"/>
  <c r="H168" i="14"/>
  <c r="A168" i="14"/>
  <c r="H167" i="14"/>
  <c r="A167" i="14"/>
  <c r="H166" i="14"/>
  <c r="A166" i="14"/>
  <c r="H165" i="14"/>
  <c r="A165" i="14"/>
  <c r="H164" i="14"/>
  <c r="A164" i="14"/>
  <c r="H163" i="14"/>
  <c r="A163" i="14"/>
  <c r="H162" i="14"/>
  <c r="A162" i="14"/>
  <c r="H161" i="14"/>
  <c r="A161" i="14"/>
  <c r="H160" i="14"/>
  <c r="A160" i="14"/>
  <c r="H159" i="14"/>
  <c r="A159" i="14"/>
  <c r="H158" i="14"/>
  <c r="A158" i="14"/>
  <c r="H157" i="14"/>
  <c r="A157" i="14"/>
  <c r="H156" i="14"/>
  <c r="A156" i="14"/>
  <c r="H155" i="14"/>
  <c r="A155" i="14"/>
  <c r="H154" i="14"/>
  <c r="A154" i="14"/>
  <c r="H153" i="14"/>
  <c r="A153" i="14"/>
  <c r="H152" i="14"/>
  <c r="A152" i="14"/>
  <c r="H151" i="14"/>
  <c r="A151" i="14"/>
  <c r="H150" i="14"/>
  <c r="A150" i="14"/>
  <c r="H149" i="14"/>
  <c r="A149" i="14"/>
  <c r="H148" i="14"/>
  <c r="A148" i="14"/>
  <c r="H147" i="14"/>
  <c r="A147" i="14"/>
  <c r="H136" i="14"/>
  <c r="H135" i="14"/>
  <c r="D122" i="14"/>
  <c r="C122" i="14"/>
  <c r="I121" i="14"/>
  <c r="H121" i="14"/>
  <c r="G121" i="14"/>
  <c r="F121" i="14"/>
  <c r="E121" i="14"/>
  <c r="D121" i="14"/>
  <c r="C121" i="14"/>
  <c r="I120" i="14"/>
  <c r="I122" i="14" s="1"/>
  <c r="H120" i="14"/>
  <c r="H122" i="14" s="1"/>
  <c r="G120" i="14"/>
  <c r="G122" i="14" s="1"/>
  <c r="F120" i="14"/>
  <c r="F122" i="14" s="1"/>
  <c r="E120" i="14"/>
  <c r="E122" i="14" s="1"/>
  <c r="D120" i="14"/>
  <c r="C120" i="14"/>
  <c r="AB116" i="14"/>
  <c r="H170" i="14" s="1"/>
  <c r="Y116" i="14"/>
  <c r="U116" i="14"/>
  <c r="H144" i="14" s="1"/>
  <c r="T116" i="14"/>
  <c r="H143" i="14" s="1"/>
  <c r="S116" i="14"/>
  <c r="H142" i="14" s="1"/>
  <c r="R116" i="14"/>
  <c r="H141" i="14" s="1"/>
  <c r="Q116" i="14"/>
  <c r="H140" i="14" s="1"/>
  <c r="P116" i="14"/>
  <c r="H139" i="14" s="1"/>
  <c r="O116" i="14"/>
  <c r="H138" i="14" s="1"/>
  <c r="N116" i="14"/>
  <c r="H137" i="14" s="1"/>
  <c r="M116" i="14"/>
  <c r="L116" i="14"/>
  <c r="K116" i="14"/>
  <c r="H134" i="14" s="1"/>
  <c r="J116" i="14"/>
  <c r="H129" i="14" s="1"/>
  <c r="I116" i="14"/>
  <c r="H116" i="14"/>
  <c r="H128" i="14" s="1"/>
  <c r="G116" i="14"/>
  <c r="H127" i="14" s="1"/>
  <c r="X115" i="14"/>
  <c r="W115" i="14"/>
  <c r="V115" i="14"/>
  <c r="X114" i="14"/>
  <c r="W114" i="14"/>
  <c r="V114" i="14"/>
  <c r="X113" i="14"/>
  <c r="W113" i="14"/>
  <c r="V113" i="14"/>
  <c r="X112" i="14"/>
  <c r="W112" i="14"/>
  <c r="V112" i="14"/>
  <c r="X111" i="14"/>
  <c r="W111" i="14"/>
  <c r="V111" i="14"/>
  <c r="X110" i="14"/>
  <c r="W110" i="14"/>
  <c r="V110" i="14"/>
  <c r="X109" i="14"/>
  <c r="W109" i="14"/>
  <c r="V109" i="14"/>
  <c r="X108" i="14"/>
  <c r="W108" i="14"/>
  <c r="V108" i="14"/>
  <c r="X107" i="14"/>
  <c r="W107" i="14"/>
  <c r="V107" i="14"/>
  <c r="X106" i="14"/>
  <c r="W106" i="14"/>
  <c r="V106" i="14"/>
  <c r="X105" i="14"/>
  <c r="W105" i="14"/>
  <c r="V105" i="14"/>
  <c r="X104" i="14"/>
  <c r="W104" i="14"/>
  <c r="V104" i="14"/>
  <c r="X103" i="14"/>
  <c r="W103" i="14"/>
  <c r="V103" i="14"/>
  <c r="X102" i="14"/>
  <c r="W102" i="14"/>
  <c r="V102" i="14"/>
  <c r="X101" i="14"/>
  <c r="W101" i="14"/>
  <c r="V101" i="14"/>
  <c r="X100" i="14"/>
  <c r="W100" i="14"/>
  <c r="V100" i="14"/>
  <c r="X99" i="14"/>
  <c r="W99" i="14"/>
  <c r="V99" i="14"/>
  <c r="X98" i="14"/>
  <c r="W98" i="14"/>
  <c r="V98" i="14"/>
  <c r="X97" i="14"/>
  <c r="W97" i="14"/>
  <c r="V97" i="14"/>
  <c r="X96" i="14"/>
  <c r="W96" i="14"/>
  <c r="V96" i="14"/>
  <c r="X95" i="14"/>
  <c r="W95" i="14"/>
  <c r="V95" i="14"/>
  <c r="X94" i="14"/>
  <c r="W94" i="14"/>
  <c r="V94" i="14"/>
  <c r="X93" i="14"/>
  <c r="W93" i="14"/>
  <c r="V93" i="14"/>
  <c r="X92" i="14"/>
  <c r="W92" i="14"/>
  <c r="V92" i="14"/>
  <c r="X91" i="14"/>
  <c r="W91" i="14"/>
  <c r="V91" i="14"/>
  <c r="X90" i="14"/>
  <c r="W90" i="14"/>
  <c r="V90" i="14"/>
  <c r="X89" i="14"/>
  <c r="W89" i="14"/>
  <c r="V89" i="14"/>
  <c r="X88" i="14"/>
  <c r="W88" i="14"/>
  <c r="V88" i="14"/>
  <c r="X87" i="14"/>
  <c r="W87" i="14"/>
  <c r="V87" i="14"/>
  <c r="X86" i="14"/>
  <c r="W86" i="14"/>
  <c r="V86" i="14"/>
  <c r="X85" i="14"/>
  <c r="W85" i="14"/>
  <c r="V85" i="14"/>
  <c r="X84" i="14"/>
  <c r="W84" i="14"/>
  <c r="V84" i="14"/>
  <c r="X83" i="14"/>
  <c r="W83" i="14"/>
  <c r="V83" i="14"/>
  <c r="X82" i="14"/>
  <c r="W82" i="14"/>
  <c r="V82" i="14"/>
  <c r="X81" i="14"/>
  <c r="W81" i="14"/>
  <c r="V81" i="14"/>
  <c r="X80" i="14"/>
  <c r="W80" i="14"/>
  <c r="V80" i="14"/>
  <c r="X79" i="14"/>
  <c r="W79" i="14"/>
  <c r="V79" i="14"/>
  <c r="X78" i="14"/>
  <c r="W78" i="14"/>
  <c r="V78" i="14"/>
  <c r="X77" i="14"/>
  <c r="W77" i="14"/>
  <c r="V77" i="14"/>
  <c r="X76" i="14"/>
  <c r="W76" i="14"/>
  <c r="V76" i="14"/>
  <c r="X75" i="14"/>
  <c r="W75" i="14"/>
  <c r="V75" i="14"/>
  <c r="X74" i="14"/>
  <c r="W74" i="14"/>
  <c r="V74" i="14"/>
  <c r="X73" i="14"/>
  <c r="W73" i="14"/>
  <c r="V73" i="14"/>
  <c r="X72" i="14"/>
  <c r="W72" i="14"/>
  <c r="V72" i="14"/>
  <c r="X71" i="14"/>
  <c r="W71" i="14"/>
  <c r="V71" i="14"/>
  <c r="X70" i="14"/>
  <c r="W70" i="14"/>
  <c r="V70" i="14"/>
  <c r="X69" i="14"/>
  <c r="W69" i="14"/>
  <c r="V69" i="14"/>
  <c r="X68" i="14"/>
  <c r="W68" i="14"/>
  <c r="V68" i="14"/>
  <c r="X67" i="14"/>
  <c r="W67" i="14"/>
  <c r="V67" i="14"/>
  <c r="X66" i="14"/>
  <c r="W66" i="14"/>
  <c r="V66" i="14"/>
  <c r="X65" i="14"/>
  <c r="W65" i="14"/>
  <c r="V65" i="14"/>
  <c r="X64" i="14"/>
  <c r="W64" i="14"/>
  <c r="V64" i="14"/>
  <c r="X63" i="14"/>
  <c r="W63" i="14"/>
  <c r="V63" i="14"/>
  <c r="X62" i="14"/>
  <c r="W62" i="14"/>
  <c r="V62" i="14"/>
  <c r="X61" i="14"/>
  <c r="W61" i="14"/>
  <c r="V61" i="14"/>
  <c r="X60" i="14"/>
  <c r="W60" i="14"/>
  <c r="V60" i="14"/>
  <c r="X59" i="14"/>
  <c r="W59" i="14"/>
  <c r="V59" i="14"/>
  <c r="X58" i="14"/>
  <c r="W58" i="14"/>
  <c r="V58" i="14"/>
  <c r="X57" i="14"/>
  <c r="W57" i="14"/>
  <c r="V57" i="14"/>
  <c r="X56" i="14"/>
  <c r="W56" i="14"/>
  <c r="V56" i="14"/>
  <c r="X55" i="14"/>
  <c r="W55" i="14"/>
  <c r="V55" i="14"/>
  <c r="X54" i="14"/>
  <c r="W54" i="14"/>
  <c r="V54" i="14"/>
  <c r="X53" i="14"/>
  <c r="W53" i="14"/>
  <c r="V53" i="14"/>
  <c r="X52" i="14"/>
  <c r="W52" i="14"/>
  <c r="V52" i="14"/>
  <c r="X51" i="14"/>
  <c r="W51" i="14"/>
  <c r="V51" i="14"/>
  <c r="X50" i="14"/>
  <c r="W50" i="14"/>
  <c r="V50" i="14"/>
  <c r="X49" i="14"/>
  <c r="W49" i="14"/>
  <c r="V49" i="14"/>
  <c r="X48" i="14"/>
  <c r="W48" i="14"/>
  <c r="V48" i="14"/>
  <c r="X47" i="14"/>
  <c r="W47" i="14"/>
  <c r="V47" i="14"/>
  <c r="X46" i="14"/>
  <c r="W46" i="14"/>
  <c r="V46" i="14"/>
  <c r="X45" i="14"/>
  <c r="W45" i="14"/>
  <c r="V45" i="14"/>
  <c r="X44" i="14"/>
  <c r="W44" i="14"/>
  <c r="V44" i="14"/>
  <c r="X43" i="14"/>
  <c r="W43" i="14"/>
  <c r="V43" i="14"/>
  <c r="X42" i="14"/>
  <c r="W42" i="14"/>
  <c r="V42" i="14"/>
  <c r="X41" i="14"/>
  <c r="W41" i="14"/>
  <c r="V41" i="14"/>
  <c r="X40" i="14"/>
  <c r="W40" i="14"/>
  <c r="V40" i="14"/>
  <c r="X39" i="14"/>
  <c r="W39" i="14"/>
  <c r="V39" i="14"/>
  <c r="X38" i="14"/>
  <c r="W38" i="14"/>
  <c r="V38" i="14"/>
  <c r="X37" i="14"/>
  <c r="W37" i="14"/>
  <c r="V37" i="14"/>
  <c r="X36" i="14"/>
  <c r="W36" i="14"/>
  <c r="V36" i="14"/>
  <c r="X35" i="14"/>
  <c r="W35" i="14"/>
  <c r="V35" i="14"/>
  <c r="X34" i="14"/>
  <c r="W34" i="14"/>
  <c r="V34" i="14"/>
  <c r="X33" i="14"/>
  <c r="W33" i="14"/>
  <c r="V33" i="14"/>
  <c r="X32" i="14"/>
  <c r="W32" i="14"/>
  <c r="V32" i="14"/>
  <c r="X31" i="14"/>
  <c r="W31" i="14"/>
  <c r="V31" i="14"/>
  <c r="X30" i="14"/>
  <c r="W30" i="14"/>
  <c r="V30" i="14"/>
  <c r="X29" i="14"/>
  <c r="W29" i="14"/>
  <c r="V29" i="14"/>
  <c r="X28" i="14"/>
  <c r="W28" i="14"/>
  <c r="V28" i="14"/>
  <c r="AA27" i="14"/>
  <c r="X27" i="14"/>
  <c r="W27" i="14"/>
  <c r="V27" i="14"/>
  <c r="AA26" i="14"/>
  <c r="X26" i="14"/>
  <c r="W26" i="14"/>
  <c r="V26" i="14"/>
  <c r="AA25" i="14"/>
  <c r="X25" i="14"/>
  <c r="W25" i="14"/>
  <c r="V25" i="14"/>
  <c r="AA24" i="14"/>
  <c r="X24" i="14"/>
  <c r="W24" i="14"/>
  <c r="V24" i="14"/>
  <c r="AA23" i="14"/>
  <c r="X23" i="14"/>
  <c r="W23" i="14"/>
  <c r="V23" i="14"/>
  <c r="AA22" i="14"/>
  <c r="X22" i="14"/>
  <c r="W22" i="14"/>
  <c r="V22" i="14"/>
  <c r="AA21" i="14"/>
  <c r="X21" i="14"/>
  <c r="W21" i="14"/>
  <c r="V21" i="14"/>
  <c r="AA20" i="14"/>
  <c r="X20" i="14"/>
  <c r="W20" i="14"/>
  <c r="V20" i="14"/>
  <c r="AA19" i="14"/>
  <c r="X19" i="14"/>
  <c r="W19" i="14"/>
  <c r="V19" i="14"/>
  <c r="AA18" i="14"/>
  <c r="X18" i="14"/>
  <c r="W18" i="14"/>
  <c r="V18" i="14"/>
  <c r="AA17" i="14"/>
  <c r="X17" i="14"/>
  <c r="W17" i="14"/>
  <c r="V17" i="14"/>
  <c r="AA16" i="14"/>
  <c r="X16" i="14"/>
  <c r="W16" i="14"/>
  <c r="V16" i="14"/>
  <c r="AA15" i="14"/>
  <c r="X15" i="14"/>
  <c r="W15" i="14"/>
  <c r="V15" i="14"/>
  <c r="AA14" i="14"/>
  <c r="X14" i="14"/>
  <c r="W14" i="14"/>
  <c r="V14" i="14"/>
  <c r="AA13" i="14"/>
  <c r="X13" i="14"/>
  <c r="W13" i="14"/>
  <c r="V13" i="14"/>
  <c r="AA12" i="14"/>
  <c r="X12" i="14"/>
  <c r="W12" i="14"/>
  <c r="V12" i="14"/>
  <c r="AA11" i="14"/>
  <c r="X11" i="14"/>
  <c r="W11" i="14"/>
  <c r="V11" i="14"/>
  <c r="AA10" i="14"/>
  <c r="X10" i="14"/>
  <c r="W10" i="14"/>
  <c r="V10" i="14"/>
  <c r="AA9" i="14"/>
  <c r="X9" i="14"/>
  <c r="W9" i="14"/>
  <c r="V9" i="14"/>
  <c r="AA8" i="14"/>
  <c r="X8" i="14"/>
  <c r="W8" i="14"/>
  <c r="V8" i="14"/>
  <c r="AA7" i="14"/>
  <c r="X7" i="14"/>
  <c r="W7" i="14"/>
  <c r="V7" i="14"/>
  <c r="AA6" i="14"/>
  <c r="X6" i="14"/>
  <c r="W6" i="14"/>
  <c r="V6" i="14"/>
  <c r="AA5" i="14"/>
  <c r="X5" i="14"/>
  <c r="W5" i="14"/>
  <c r="V5" i="14"/>
  <c r="F179" i="13"/>
  <c r="H177" i="13"/>
  <c r="H176" i="13"/>
  <c r="H169" i="13"/>
  <c r="A169" i="13"/>
  <c r="H168" i="13"/>
  <c r="A168" i="13"/>
  <c r="H167" i="13"/>
  <c r="A167" i="13"/>
  <c r="H166" i="13"/>
  <c r="A166" i="13"/>
  <c r="H165" i="13"/>
  <c r="A165" i="13"/>
  <c r="H164" i="13"/>
  <c r="A164" i="13"/>
  <c r="H163" i="13"/>
  <c r="A163" i="13"/>
  <c r="H162" i="13"/>
  <c r="A162" i="13"/>
  <c r="H161" i="13"/>
  <c r="A161" i="13"/>
  <c r="H160" i="13"/>
  <c r="A160" i="13"/>
  <c r="H159" i="13"/>
  <c r="A159" i="13"/>
  <c r="H158" i="13"/>
  <c r="A158" i="13"/>
  <c r="H157" i="13"/>
  <c r="A157" i="13"/>
  <c r="H156" i="13"/>
  <c r="A156" i="13"/>
  <c r="H155" i="13"/>
  <c r="A155" i="13"/>
  <c r="H154" i="13"/>
  <c r="A154" i="13"/>
  <c r="H153" i="13"/>
  <c r="A153" i="13"/>
  <c r="H152" i="13"/>
  <c r="A152" i="13"/>
  <c r="H151" i="13"/>
  <c r="A151" i="13"/>
  <c r="H150" i="13"/>
  <c r="A150" i="13"/>
  <c r="H149" i="13"/>
  <c r="A149" i="13"/>
  <c r="H148" i="13"/>
  <c r="A148" i="13"/>
  <c r="H147" i="13"/>
  <c r="A147" i="13"/>
  <c r="H143" i="13"/>
  <c r="H142" i="13"/>
  <c r="H141" i="13"/>
  <c r="H140" i="13"/>
  <c r="H139" i="13"/>
  <c r="H138" i="13"/>
  <c r="H137" i="13"/>
  <c r="I121" i="13"/>
  <c r="H121" i="13"/>
  <c r="G121" i="13"/>
  <c r="F121" i="13"/>
  <c r="F122" i="13" s="1"/>
  <c r="E121" i="13"/>
  <c r="E122" i="13" s="1"/>
  <c r="D121" i="13"/>
  <c r="C121" i="13"/>
  <c r="C122" i="13" s="1"/>
  <c r="I120" i="13"/>
  <c r="I122" i="13" s="1"/>
  <c r="H120" i="13"/>
  <c r="H122" i="13" s="1"/>
  <c r="G120" i="13"/>
  <c r="G122" i="13" s="1"/>
  <c r="F120" i="13"/>
  <c r="E120" i="13"/>
  <c r="D120" i="13"/>
  <c r="C120" i="13"/>
  <c r="AB116" i="13"/>
  <c r="H170" i="13" s="1"/>
  <c r="Y116" i="13"/>
  <c r="U116" i="13"/>
  <c r="H144" i="13" s="1"/>
  <c r="T116" i="13"/>
  <c r="S116" i="13"/>
  <c r="R116" i="13"/>
  <c r="Q116" i="13"/>
  <c r="P116" i="13"/>
  <c r="O116" i="13"/>
  <c r="N116" i="13"/>
  <c r="M116" i="13"/>
  <c r="H136" i="13" s="1"/>
  <c r="L116" i="13"/>
  <c r="H135" i="13" s="1"/>
  <c r="K116" i="13"/>
  <c r="J116" i="13"/>
  <c r="I116" i="13"/>
  <c r="H116" i="13"/>
  <c r="C16" i="1" s="1"/>
  <c r="G116" i="13"/>
  <c r="B16" i="1" s="1"/>
  <c r="X115" i="13"/>
  <c r="W115" i="13"/>
  <c r="V115" i="13"/>
  <c r="X114" i="13"/>
  <c r="W114" i="13"/>
  <c r="V114" i="13"/>
  <c r="X113" i="13"/>
  <c r="W113" i="13"/>
  <c r="V113" i="13"/>
  <c r="X112" i="13"/>
  <c r="W112" i="13"/>
  <c r="V112" i="13"/>
  <c r="X111" i="13"/>
  <c r="W111" i="13"/>
  <c r="V111" i="13"/>
  <c r="X110" i="13"/>
  <c r="W110" i="13"/>
  <c r="V110" i="13"/>
  <c r="X109" i="13"/>
  <c r="W109" i="13"/>
  <c r="V109" i="13"/>
  <c r="X108" i="13"/>
  <c r="W108" i="13"/>
  <c r="V108" i="13"/>
  <c r="X107" i="13"/>
  <c r="W107" i="13"/>
  <c r="V107" i="13"/>
  <c r="X106" i="13"/>
  <c r="W106" i="13"/>
  <c r="V106" i="13"/>
  <c r="X105" i="13"/>
  <c r="W105" i="13"/>
  <c r="V105" i="13"/>
  <c r="X104" i="13"/>
  <c r="W104" i="13"/>
  <c r="V104" i="13"/>
  <c r="X103" i="13"/>
  <c r="W103" i="13"/>
  <c r="V103" i="13"/>
  <c r="X102" i="13"/>
  <c r="W102" i="13"/>
  <c r="V102" i="13"/>
  <c r="X101" i="13"/>
  <c r="W101" i="13"/>
  <c r="V101" i="13"/>
  <c r="X100" i="13"/>
  <c r="W100" i="13"/>
  <c r="V100" i="13"/>
  <c r="X99" i="13"/>
  <c r="W99" i="13"/>
  <c r="V99" i="13"/>
  <c r="X98" i="13"/>
  <c r="W98" i="13"/>
  <c r="V98" i="13"/>
  <c r="X97" i="13"/>
  <c r="W97" i="13"/>
  <c r="V97" i="13"/>
  <c r="X96" i="13"/>
  <c r="W96" i="13"/>
  <c r="V96" i="13"/>
  <c r="X95" i="13"/>
  <c r="W95" i="13"/>
  <c r="V95" i="13"/>
  <c r="X94" i="13"/>
  <c r="W94" i="13"/>
  <c r="V94" i="13"/>
  <c r="X93" i="13"/>
  <c r="W93" i="13"/>
  <c r="V93" i="13"/>
  <c r="X92" i="13"/>
  <c r="W92" i="13"/>
  <c r="V92" i="13"/>
  <c r="X91" i="13"/>
  <c r="W91" i="13"/>
  <c r="V91" i="13"/>
  <c r="X90" i="13"/>
  <c r="W90" i="13"/>
  <c r="V90" i="13"/>
  <c r="X89" i="13"/>
  <c r="W89" i="13"/>
  <c r="V89" i="13"/>
  <c r="X88" i="13"/>
  <c r="W88" i="13"/>
  <c r="V88" i="13"/>
  <c r="X87" i="13"/>
  <c r="W87" i="13"/>
  <c r="V87" i="13"/>
  <c r="X86" i="13"/>
  <c r="W86" i="13"/>
  <c r="V86" i="13"/>
  <c r="X85" i="13"/>
  <c r="W85" i="13"/>
  <c r="V85" i="13"/>
  <c r="X84" i="13"/>
  <c r="W84" i="13"/>
  <c r="V84" i="13"/>
  <c r="X83" i="13"/>
  <c r="W83" i="13"/>
  <c r="V83" i="13"/>
  <c r="X82" i="13"/>
  <c r="W82" i="13"/>
  <c r="V82" i="13"/>
  <c r="X81" i="13"/>
  <c r="W81" i="13"/>
  <c r="V81" i="13"/>
  <c r="X80" i="13"/>
  <c r="W80" i="13"/>
  <c r="V80" i="13"/>
  <c r="X79" i="13"/>
  <c r="W79" i="13"/>
  <c r="V79" i="13"/>
  <c r="X78" i="13"/>
  <c r="W78" i="13"/>
  <c r="V78" i="13"/>
  <c r="X77" i="13"/>
  <c r="W77" i="13"/>
  <c r="V77" i="13"/>
  <c r="X76" i="13"/>
  <c r="W76" i="13"/>
  <c r="V76" i="13"/>
  <c r="X75" i="13"/>
  <c r="W75" i="13"/>
  <c r="V75" i="13"/>
  <c r="X74" i="13"/>
  <c r="W74" i="13"/>
  <c r="V74" i="13"/>
  <c r="X73" i="13"/>
  <c r="W73" i="13"/>
  <c r="V73" i="13"/>
  <c r="X72" i="13"/>
  <c r="W72" i="13"/>
  <c r="V72" i="13"/>
  <c r="X71" i="13"/>
  <c r="W71" i="13"/>
  <c r="V71" i="13"/>
  <c r="X70" i="13"/>
  <c r="W70" i="13"/>
  <c r="V70" i="13"/>
  <c r="X69" i="13"/>
  <c r="W69" i="13"/>
  <c r="V69" i="13"/>
  <c r="X68" i="13"/>
  <c r="W68" i="13"/>
  <c r="V68" i="13"/>
  <c r="X67" i="13"/>
  <c r="W67" i="13"/>
  <c r="V67" i="13"/>
  <c r="X66" i="13"/>
  <c r="W66" i="13"/>
  <c r="V66" i="13"/>
  <c r="X65" i="13"/>
  <c r="W65" i="13"/>
  <c r="V65" i="13"/>
  <c r="X64" i="13"/>
  <c r="W64" i="13"/>
  <c r="V64" i="13"/>
  <c r="X63" i="13"/>
  <c r="W63" i="13"/>
  <c r="V63" i="13"/>
  <c r="X62" i="13"/>
  <c r="W62" i="13"/>
  <c r="V62" i="13"/>
  <c r="X61" i="13"/>
  <c r="W61" i="13"/>
  <c r="V61" i="13"/>
  <c r="X60" i="13"/>
  <c r="W60" i="13"/>
  <c r="V60" i="13"/>
  <c r="X59" i="13"/>
  <c r="W59" i="13"/>
  <c r="V59" i="13"/>
  <c r="X58" i="13"/>
  <c r="W58" i="13"/>
  <c r="V58" i="13"/>
  <c r="X57" i="13"/>
  <c r="W57" i="13"/>
  <c r="V57" i="13"/>
  <c r="X56" i="13"/>
  <c r="W56" i="13"/>
  <c r="V56" i="13"/>
  <c r="X55" i="13"/>
  <c r="W55" i="13"/>
  <c r="V55" i="13"/>
  <c r="X54" i="13"/>
  <c r="W54" i="13"/>
  <c r="V54" i="13"/>
  <c r="X53" i="13"/>
  <c r="W53" i="13"/>
  <c r="V53" i="13"/>
  <c r="X52" i="13"/>
  <c r="W52" i="13"/>
  <c r="V52" i="13"/>
  <c r="X51" i="13"/>
  <c r="W51" i="13"/>
  <c r="V51" i="13"/>
  <c r="X50" i="13"/>
  <c r="W50" i="13"/>
  <c r="V50" i="13"/>
  <c r="X49" i="13"/>
  <c r="W49" i="13"/>
  <c r="V49" i="13"/>
  <c r="X48" i="13"/>
  <c r="W48" i="13"/>
  <c r="V48" i="13"/>
  <c r="X47" i="13"/>
  <c r="W47" i="13"/>
  <c r="V47" i="13"/>
  <c r="X46" i="13"/>
  <c r="W46" i="13"/>
  <c r="V46" i="13"/>
  <c r="X45" i="13"/>
  <c r="W45" i="13"/>
  <c r="V45" i="13"/>
  <c r="X44" i="13"/>
  <c r="W44" i="13"/>
  <c r="V44" i="13"/>
  <c r="X43" i="13"/>
  <c r="W43" i="13"/>
  <c r="V43" i="13"/>
  <c r="X42" i="13"/>
  <c r="W42" i="13"/>
  <c r="V42" i="13"/>
  <c r="X41" i="13"/>
  <c r="W41" i="13"/>
  <c r="V41" i="13"/>
  <c r="X40" i="13"/>
  <c r="W40" i="13"/>
  <c r="V40" i="13"/>
  <c r="X39" i="13"/>
  <c r="W39" i="13"/>
  <c r="V39" i="13"/>
  <c r="X38" i="13"/>
  <c r="W38" i="13"/>
  <c r="V38" i="13"/>
  <c r="X37" i="13"/>
  <c r="W37" i="13"/>
  <c r="V37" i="13"/>
  <c r="X36" i="13"/>
  <c r="W36" i="13"/>
  <c r="V36" i="13"/>
  <c r="X35" i="13"/>
  <c r="W35" i="13"/>
  <c r="V35" i="13"/>
  <c r="X34" i="13"/>
  <c r="W34" i="13"/>
  <c r="V34" i="13"/>
  <c r="X33" i="13"/>
  <c r="W33" i="13"/>
  <c r="V33" i="13"/>
  <c r="X32" i="13"/>
  <c r="W32" i="13"/>
  <c r="V32" i="13"/>
  <c r="X31" i="13"/>
  <c r="W31" i="13"/>
  <c r="V31" i="13"/>
  <c r="X30" i="13"/>
  <c r="W30" i="13"/>
  <c r="V30" i="13"/>
  <c r="X29" i="13"/>
  <c r="X116" i="13" s="1"/>
  <c r="W29" i="13"/>
  <c r="V29" i="13"/>
  <c r="X28" i="13"/>
  <c r="W28" i="13"/>
  <c r="V28" i="13"/>
  <c r="AA27" i="13"/>
  <c r="X27" i="13"/>
  <c r="W27" i="13"/>
  <c r="V27" i="13"/>
  <c r="AA26" i="13"/>
  <c r="X26" i="13"/>
  <c r="W26" i="13"/>
  <c r="V26" i="13"/>
  <c r="AA25" i="13"/>
  <c r="X25" i="13"/>
  <c r="W25" i="13"/>
  <c r="V25" i="13"/>
  <c r="AA24" i="13"/>
  <c r="X24" i="13"/>
  <c r="W24" i="13"/>
  <c r="V24" i="13"/>
  <c r="AA23" i="13"/>
  <c r="X23" i="13"/>
  <c r="W23" i="13"/>
  <c r="V23" i="13"/>
  <c r="AA22" i="13"/>
  <c r="X22" i="13"/>
  <c r="W22" i="13"/>
  <c r="V22" i="13"/>
  <c r="AA21" i="13"/>
  <c r="X21" i="13"/>
  <c r="W21" i="13"/>
  <c r="V21" i="13"/>
  <c r="AA20" i="13"/>
  <c r="X20" i="13"/>
  <c r="W20" i="13"/>
  <c r="V20" i="13"/>
  <c r="AA19" i="13"/>
  <c r="X19" i="13"/>
  <c r="W19" i="13"/>
  <c r="V19" i="13"/>
  <c r="AA18" i="13"/>
  <c r="X18" i="13"/>
  <c r="W18" i="13"/>
  <c r="V18" i="13"/>
  <c r="AA17" i="13"/>
  <c r="X17" i="13"/>
  <c r="W17" i="13"/>
  <c r="V17" i="13"/>
  <c r="AA16" i="13"/>
  <c r="X16" i="13"/>
  <c r="W16" i="13"/>
  <c r="V16" i="13"/>
  <c r="AA15" i="13"/>
  <c r="X15" i="13"/>
  <c r="W15" i="13"/>
  <c r="V15" i="13"/>
  <c r="AA14" i="13"/>
  <c r="X14" i="13"/>
  <c r="W14" i="13"/>
  <c r="V14" i="13"/>
  <c r="AA13" i="13"/>
  <c r="X13" i="13"/>
  <c r="W13" i="13"/>
  <c r="V13" i="13"/>
  <c r="AA12" i="13"/>
  <c r="X12" i="13"/>
  <c r="W12" i="13"/>
  <c r="V12" i="13"/>
  <c r="AA11" i="13"/>
  <c r="X11" i="13"/>
  <c r="W11" i="13"/>
  <c r="V11" i="13"/>
  <c r="AA10" i="13"/>
  <c r="X10" i="13"/>
  <c r="W10" i="13"/>
  <c r="V10" i="13"/>
  <c r="AA9" i="13"/>
  <c r="X9" i="13"/>
  <c r="W9" i="13"/>
  <c r="V9" i="13"/>
  <c r="AA8" i="13"/>
  <c r="X8" i="13"/>
  <c r="W8" i="13"/>
  <c r="V8" i="13"/>
  <c r="AA7" i="13"/>
  <c r="X7" i="13"/>
  <c r="W7" i="13"/>
  <c r="V7" i="13"/>
  <c r="AA6" i="13"/>
  <c r="X6" i="13"/>
  <c r="W6" i="13"/>
  <c r="V6" i="13"/>
  <c r="AA5" i="13"/>
  <c r="X5" i="13"/>
  <c r="W5" i="13"/>
  <c r="W116" i="13" s="1"/>
  <c r="V5" i="13"/>
  <c r="V116" i="13" s="1"/>
  <c r="F179" i="12"/>
  <c r="H177" i="12"/>
  <c r="H176" i="12"/>
  <c r="H169" i="12"/>
  <c r="A169" i="12"/>
  <c r="H168" i="12"/>
  <c r="A168" i="12"/>
  <c r="H167" i="12"/>
  <c r="A167" i="12"/>
  <c r="H166" i="12"/>
  <c r="A166" i="12"/>
  <c r="H165" i="12"/>
  <c r="A165" i="12"/>
  <c r="H164" i="12"/>
  <c r="A164" i="12"/>
  <c r="H163" i="12"/>
  <c r="A163" i="12"/>
  <c r="H162" i="12"/>
  <c r="A162" i="12"/>
  <c r="H161" i="12"/>
  <c r="A161" i="12"/>
  <c r="H160" i="12"/>
  <c r="A160" i="12"/>
  <c r="H159" i="12"/>
  <c r="A159" i="12"/>
  <c r="H158" i="12"/>
  <c r="A158" i="12"/>
  <c r="H157" i="12"/>
  <c r="A157" i="12"/>
  <c r="H156" i="12"/>
  <c r="A156" i="12"/>
  <c r="H155" i="12"/>
  <c r="A155" i="12"/>
  <c r="H154" i="12"/>
  <c r="A154" i="12"/>
  <c r="H153" i="12"/>
  <c r="A153" i="12"/>
  <c r="H152" i="12"/>
  <c r="A152" i="12"/>
  <c r="H151" i="12"/>
  <c r="A151" i="12"/>
  <c r="H150" i="12"/>
  <c r="A150" i="12"/>
  <c r="H149" i="12"/>
  <c r="A149" i="12"/>
  <c r="H148" i="12"/>
  <c r="A148" i="12"/>
  <c r="H147" i="12"/>
  <c r="A147" i="12"/>
  <c r="H138" i="12"/>
  <c r="H137" i="12"/>
  <c r="H136" i="12"/>
  <c r="H135" i="12"/>
  <c r="H134" i="12"/>
  <c r="H122" i="12"/>
  <c r="G122" i="12"/>
  <c r="E122" i="12"/>
  <c r="D122" i="12"/>
  <c r="I121" i="12"/>
  <c r="H121" i="12"/>
  <c r="G121" i="12"/>
  <c r="F121" i="12"/>
  <c r="E121" i="12"/>
  <c r="D121" i="12"/>
  <c r="C121" i="12"/>
  <c r="C122" i="12" s="1"/>
  <c r="I120" i="12"/>
  <c r="I122" i="12" s="1"/>
  <c r="H120" i="12"/>
  <c r="G120" i="12"/>
  <c r="F120" i="12"/>
  <c r="F122" i="12" s="1"/>
  <c r="E120" i="12"/>
  <c r="D120" i="12"/>
  <c r="C120" i="12"/>
  <c r="AB116" i="12"/>
  <c r="G15" i="1" s="1"/>
  <c r="Y116" i="12"/>
  <c r="U116" i="12"/>
  <c r="H144" i="12" s="1"/>
  <c r="T116" i="12"/>
  <c r="H143" i="12" s="1"/>
  <c r="S116" i="12"/>
  <c r="H142" i="12" s="1"/>
  <c r="R116" i="12"/>
  <c r="H141" i="12" s="1"/>
  <c r="Q116" i="12"/>
  <c r="H140" i="12" s="1"/>
  <c r="P116" i="12"/>
  <c r="F15" i="1" s="1"/>
  <c r="O116" i="12"/>
  <c r="N116" i="12"/>
  <c r="M116" i="12"/>
  <c r="L116" i="12"/>
  <c r="K116" i="12"/>
  <c r="J116" i="12"/>
  <c r="I116" i="12"/>
  <c r="H116" i="12"/>
  <c r="H128" i="12" s="1"/>
  <c r="G116" i="12"/>
  <c r="H127" i="12" s="1"/>
  <c r="X115" i="12"/>
  <c r="W115" i="12"/>
  <c r="V115" i="12"/>
  <c r="X114" i="12"/>
  <c r="W114" i="12"/>
  <c r="V114" i="12"/>
  <c r="X113" i="12"/>
  <c r="W113" i="12"/>
  <c r="V113" i="12"/>
  <c r="X112" i="12"/>
  <c r="W112" i="12"/>
  <c r="V112" i="12"/>
  <c r="X111" i="12"/>
  <c r="W111" i="12"/>
  <c r="V111" i="12"/>
  <c r="X110" i="12"/>
  <c r="W110" i="12"/>
  <c r="V110" i="12"/>
  <c r="X109" i="12"/>
  <c r="W109" i="12"/>
  <c r="V109" i="12"/>
  <c r="X108" i="12"/>
  <c r="W108" i="12"/>
  <c r="V108" i="12"/>
  <c r="X107" i="12"/>
  <c r="W107" i="12"/>
  <c r="V107" i="12"/>
  <c r="X106" i="12"/>
  <c r="W106" i="12"/>
  <c r="V106" i="12"/>
  <c r="X105" i="12"/>
  <c r="W105" i="12"/>
  <c r="V105" i="12"/>
  <c r="X104" i="12"/>
  <c r="W104" i="12"/>
  <c r="V104" i="12"/>
  <c r="X103" i="12"/>
  <c r="W103" i="12"/>
  <c r="V103" i="12"/>
  <c r="X102" i="12"/>
  <c r="W102" i="12"/>
  <c r="V102" i="12"/>
  <c r="X101" i="12"/>
  <c r="W101" i="12"/>
  <c r="V101" i="12"/>
  <c r="X100" i="12"/>
  <c r="W100" i="12"/>
  <c r="V100" i="12"/>
  <c r="X99" i="12"/>
  <c r="W99" i="12"/>
  <c r="V99" i="12"/>
  <c r="X98" i="12"/>
  <c r="W98" i="12"/>
  <c r="V98" i="12"/>
  <c r="X97" i="12"/>
  <c r="W97" i="12"/>
  <c r="V97" i="12"/>
  <c r="X96" i="12"/>
  <c r="W96" i="12"/>
  <c r="V96" i="12"/>
  <c r="X95" i="12"/>
  <c r="W95" i="12"/>
  <c r="V95" i="12"/>
  <c r="X94" i="12"/>
  <c r="W94" i="12"/>
  <c r="V94" i="12"/>
  <c r="X93" i="12"/>
  <c r="W93" i="12"/>
  <c r="V93" i="12"/>
  <c r="X92" i="12"/>
  <c r="W92" i="12"/>
  <c r="V92" i="12"/>
  <c r="X91" i="12"/>
  <c r="W91" i="12"/>
  <c r="V91" i="12"/>
  <c r="X90" i="12"/>
  <c r="W90" i="12"/>
  <c r="V90" i="12"/>
  <c r="X89" i="12"/>
  <c r="W89" i="12"/>
  <c r="V89" i="12"/>
  <c r="X88" i="12"/>
  <c r="W88" i="12"/>
  <c r="V88" i="12"/>
  <c r="X87" i="12"/>
  <c r="W87" i="12"/>
  <c r="V87" i="12"/>
  <c r="X86" i="12"/>
  <c r="W86" i="12"/>
  <c r="V86" i="12"/>
  <c r="X85" i="12"/>
  <c r="W85" i="12"/>
  <c r="V85" i="12"/>
  <c r="X84" i="12"/>
  <c r="W84" i="12"/>
  <c r="V84" i="12"/>
  <c r="X83" i="12"/>
  <c r="W83" i="12"/>
  <c r="V83" i="12"/>
  <c r="X82" i="12"/>
  <c r="W82" i="12"/>
  <c r="V82" i="12"/>
  <c r="X81" i="12"/>
  <c r="W81" i="12"/>
  <c r="V81" i="12"/>
  <c r="X80" i="12"/>
  <c r="W80" i="12"/>
  <c r="V80" i="12"/>
  <c r="X79" i="12"/>
  <c r="W79" i="12"/>
  <c r="V79" i="12"/>
  <c r="X78" i="12"/>
  <c r="W78" i="12"/>
  <c r="V78" i="12"/>
  <c r="X77" i="12"/>
  <c r="W77" i="12"/>
  <c r="V77" i="12"/>
  <c r="X76" i="12"/>
  <c r="W76" i="12"/>
  <c r="V76" i="12"/>
  <c r="X75" i="12"/>
  <c r="W75" i="12"/>
  <c r="V75" i="12"/>
  <c r="X74" i="12"/>
  <c r="W74" i="12"/>
  <c r="V74" i="12"/>
  <c r="X73" i="12"/>
  <c r="W73" i="12"/>
  <c r="V73" i="12"/>
  <c r="X72" i="12"/>
  <c r="W72" i="12"/>
  <c r="V72" i="12"/>
  <c r="X71" i="12"/>
  <c r="W71" i="12"/>
  <c r="V71" i="12"/>
  <c r="X70" i="12"/>
  <c r="W70" i="12"/>
  <c r="V70" i="12"/>
  <c r="X69" i="12"/>
  <c r="W69" i="12"/>
  <c r="V69" i="12"/>
  <c r="X68" i="12"/>
  <c r="W68" i="12"/>
  <c r="V68" i="12"/>
  <c r="X67" i="12"/>
  <c r="W67" i="12"/>
  <c r="V67" i="12"/>
  <c r="X66" i="12"/>
  <c r="W66" i="12"/>
  <c r="V66" i="12"/>
  <c r="X65" i="12"/>
  <c r="W65" i="12"/>
  <c r="V65" i="12"/>
  <c r="X64" i="12"/>
  <c r="W64" i="12"/>
  <c r="V64" i="12"/>
  <c r="X63" i="12"/>
  <c r="W63" i="12"/>
  <c r="V63" i="12"/>
  <c r="X62" i="12"/>
  <c r="W62" i="12"/>
  <c r="V62" i="12"/>
  <c r="X61" i="12"/>
  <c r="W61" i="12"/>
  <c r="V61" i="12"/>
  <c r="X60" i="12"/>
  <c r="W60" i="12"/>
  <c r="V60" i="12"/>
  <c r="X59" i="12"/>
  <c r="W59" i="12"/>
  <c r="V59" i="12"/>
  <c r="X58" i="12"/>
  <c r="W58" i="12"/>
  <c r="V58" i="12"/>
  <c r="X57" i="12"/>
  <c r="W57" i="12"/>
  <c r="V57" i="12"/>
  <c r="X56" i="12"/>
  <c r="W56" i="12"/>
  <c r="V56" i="12"/>
  <c r="X55" i="12"/>
  <c r="W55" i="12"/>
  <c r="V55" i="12"/>
  <c r="X54" i="12"/>
  <c r="W54" i="12"/>
  <c r="V54" i="12"/>
  <c r="X53" i="12"/>
  <c r="W53" i="12"/>
  <c r="V53" i="12"/>
  <c r="X52" i="12"/>
  <c r="W52" i="12"/>
  <c r="V52" i="12"/>
  <c r="X51" i="12"/>
  <c r="W51" i="12"/>
  <c r="V51" i="12"/>
  <c r="X50" i="12"/>
  <c r="W50" i="12"/>
  <c r="V50" i="12"/>
  <c r="X49" i="12"/>
  <c r="W49" i="12"/>
  <c r="V49" i="12"/>
  <c r="X48" i="12"/>
  <c r="W48" i="12"/>
  <c r="V48" i="12"/>
  <c r="X47" i="12"/>
  <c r="W47" i="12"/>
  <c r="V47" i="12"/>
  <c r="X46" i="12"/>
  <c r="W46" i="12"/>
  <c r="V46" i="12"/>
  <c r="X45" i="12"/>
  <c r="W45" i="12"/>
  <c r="V45" i="12"/>
  <c r="X44" i="12"/>
  <c r="W44" i="12"/>
  <c r="V44" i="12"/>
  <c r="X43" i="12"/>
  <c r="W43" i="12"/>
  <c r="V43" i="12"/>
  <c r="X42" i="12"/>
  <c r="W42" i="12"/>
  <c r="V42" i="12"/>
  <c r="X41" i="12"/>
  <c r="W41" i="12"/>
  <c r="V41" i="12"/>
  <c r="X40" i="12"/>
  <c r="W40" i="12"/>
  <c r="V40" i="12"/>
  <c r="X39" i="12"/>
  <c r="W39" i="12"/>
  <c r="V39" i="12"/>
  <c r="X38" i="12"/>
  <c r="W38" i="12"/>
  <c r="V38" i="12"/>
  <c r="X37" i="12"/>
  <c r="W37" i="12"/>
  <c r="V37" i="12"/>
  <c r="X36" i="12"/>
  <c r="W36" i="12"/>
  <c r="V36" i="12"/>
  <c r="X35" i="12"/>
  <c r="W35" i="12"/>
  <c r="V35" i="12"/>
  <c r="X34" i="12"/>
  <c r="W34" i="12"/>
  <c r="V34" i="12"/>
  <c r="X33" i="12"/>
  <c r="W33" i="12"/>
  <c r="V33" i="12"/>
  <c r="X32" i="12"/>
  <c r="W32" i="12"/>
  <c r="V32" i="12"/>
  <c r="X31" i="12"/>
  <c r="W31" i="12"/>
  <c r="V31" i="12"/>
  <c r="X30" i="12"/>
  <c r="W30" i="12"/>
  <c r="V30" i="12"/>
  <c r="X29" i="12"/>
  <c r="W29" i="12"/>
  <c r="V29" i="12"/>
  <c r="X28" i="12"/>
  <c r="W28" i="12"/>
  <c r="V28" i="12"/>
  <c r="AA27" i="12"/>
  <c r="X27" i="12"/>
  <c r="W27" i="12"/>
  <c r="V27" i="12"/>
  <c r="AA26" i="12"/>
  <c r="X26" i="12"/>
  <c r="W26" i="12"/>
  <c r="V26" i="12"/>
  <c r="AA25" i="12"/>
  <c r="X25" i="12"/>
  <c r="W25" i="12"/>
  <c r="V25" i="12"/>
  <c r="AA24" i="12"/>
  <c r="X24" i="12"/>
  <c r="W24" i="12"/>
  <c r="V24" i="12"/>
  <c r="AA23" i="12"/>
  <c r="X23" i="12"/>
  <c r="W23" i="12"/>
  <c r="V23" i="12"/>
  <c r="AA22" i="12"/>
  <c r="X22" i="12"/>
  <c r="W22" i="12"/>
  <c r="V22" i="12"/>
  <c r="AA21" i="12"/>
  <c r="X21" i="12"/>
  <c r="W21" i="12"/>
  <c r="V21" i="12"/>
  <c r="AA20" i="12"/>
  <c r="X20" i="12"/>
  <c r="W20" i="12"/>
  <c r="V20" i="12"/>
  <c r="AA19" i="12"/>
  <c r="X19" i="12"/>
  <c r="W19" i="12"/>
  <c r="V19" i="12"/>
  <c r="AA18" i="12"/>
  <c r="X18" i="12"/>
  <c r="W18" i="12"/>
  <c r="V18" i="12"/>
  <c r="AA17" i="12"/>
  <c r="X17" i="12"/>
  <c r="W17" i="12"/>
  <c r="V17" i="12"/>
  <c r="AA16" i="12"/>
  <c r="X16" i="12"/>
  <c r="W16" i="12"/>
  <c r="V16" i="12"/>
  <c r="AA15" i="12"/>
  <c r="X15" i="12"/>
  <c r="W15" i="12"/>
  <c r="V15" i="12"/>
  <c r="AA14" i="12"/>
  <c r="X14" i="12"/>
  <c r="W14" i="12"/>
  <c r="V14" i="12"/>
  <c r="AA13" i="12"/>
  <c r="X13" i="12"/>
  <c r="W13" i="12"/>
  <c r="V13" i="12"/>
  <c r="AA12" i="12"/>
  <c r="X12" i="12"/>
  <c r="W12" i="12"/>
  <c r="V12" i="12"/>
  <c r="AA11" i="12"/>
  <c r="X11" i="12"/>
  <c r="W11" i="12"/>
  <c r="V11" i="12"/>
  <c r="AA10" i="12"/>
  <c r="X10" i="12"/>
  <c r="W10" i="12"/>
  <c r="V10" i="12"/>
  <c r="AA9" i="12"/>
  <c r="X9" i="12"/>
  <c r="W9" i="12"/>
  <c r="V9" i="12"/>
  <c r="AA8" i="12"/>
  <c r="X8" i="12"/>
  <c r="W8" i="12"/>
  <c r="V8" i="12"/>
  <c r="AA7" i="12"/>
  <c r="X7" i="12"/>
  <c r="W7" i="12"/>
  <c r="V7" i="12"/>
  <c r="V116" i="12" s="1"/>
  <c r="AA6" i="12"/>
  <c r="X6" i="12"/>
  <c r="W6" i="12"/>
  <c r="V6" i="12"/>
  <c r="AA5" i="12"/>
  <c r="X5" i="12"/>
  <c r="W5" i="12"/>
  <c r="V5" i="12"/>
  <c r="F179" i="11"/>
  <c r="H177" i="11"/>
  <c r="H176" i="11"/>
  <c r="H170" i="11"/>
  <c r="H169" i="11"/>
  <c r="A169" i="11"/>
  <c r="H168" i="11"/>
  <c r="A168" i="11"/>
  <c r="H167" i="11"/>
  <c r="A167" i="11"/>
  <c r="H166" i="11"/>
  <c r="A166" i="11"/>
  <c r="H165" i="11"/>
  <c r="A165" i="11"/>
  <c r="H164" i="11"/>
  <c r="A164" i="11"/>
  <c r="H163" i="11"/>
  <c r="A163" i="11"/>
  <c r="H162" i="11"/>
  <c r="A162" i="11"/>
  <c r="H161" i="11"/>
  <c r="A161" i="11"/>
  <c r="H160" i="11"/>
  <c r="A160" i="11"/>
  <c r="H159" i="11"/>
  <c r="A159" i="11"/>
  <c r="H158" i="11"/>
  <c r="A158" i="11"/>
  <c r="H157" i="11"/>
  <c r="A157" i="11"/>
  <c r="H156" i="11"/>
  <c r="A156" i="11"/>
  <c r="H155" i="11"/>
  <c r="A155" i="11"/>
  <c r="H154" i="11"/>
  <c r="A154" i="11"/>
  <c r="H153" i="11"/>
  <c r="A153" i="11"/>
  <c r="H152" i="11"/>
  <c r="A152" i="11"/>
  <c r="H151" i="11"/>
  <c r="A151" i="11"/>
  <c r="H150" i="11"/>
  <c r="A150" i="11"/>
  <c r="H149" i="11"/>
  <c r="A149" i="11"/>
  <c r="H148" i="11"/>
  <c r="A148" i="11"/>
  <c r="H147" i="11"/>
  <c r="A147" i="11"/>
  <c r="H144" i="11"/>
  <c r="H143" i="11"/>
  <c r="H136" i="11"/>
  <c r="H135" i="11"/>
  <c r="H134" i="11"/>
  <c r="H145" i="11" s="1"/>
  <c r="H171" i="11" s="1"/>
  <c r="H14" i="1" s="1"/>
  <c r="H129" i="11"/>
  <c r="H128" i="11"/>
  <c r="E122" i="11"/>
  <c r="D122" i="11"/>
  <c r="I121" i="11"/>
  <c r="I122" i="11" s="1"/>
  <c r="H121" i="11"/>
  <c r="G121" i="11"/>
  <c r="F121" i="11"/>
  <c r="E121" i="11"/>
  <c r="D121" i="11"/>
  <c r="C121" i="11"/>
  <c r="I120" i="11"/>
  <c r="H120" i="11"/>
  <c r="G120" i="11"/>
  <c r="G122" i="11" s="1"/>
  <c r="F120" i="11"/>
  <c r="F122" i="11" s="1"/>
  <c r="E120" i="11"/>
  <c r="D120" i="11"/>
  <c r="C120" i="11"/>
  <c r="C122" i="11" s="1"/>
  <c r="AB116" i="11"/>
  <c r="Y116" i="11"/>
  <c r="U116" i="11"/>
  <c r="T116" i="11"/>
  <c r="S116" i="11"/>
  <c r="H142" i="11" s="1"/>
  <c r="R116" i="11"/>
  <c r="H141" i="11" s="1"/>
  <c r="Q116" i="11"/>
  <c r="H140" i="11" s="1"/>
  <c r="P116" i="11"/>
  <c r="H139" i="11" s="1"/>
  <c r="O116" i="11"/>
  <c r="H138" i="11" s="1"/>
  <c r="N116" i="11"/>
  <c r="H137" i="11" s="1"/>
  <c r="M116" i="11"/>
  <c r="L116" i="11"/>
  <c r="K116" i="11"/>
  <c r="J116" i="11"/>
  <c r="I116" i="11"/>
  <c r="H116" i="11"/>
  <c r="G116" i="11"/>
  <c r="H127" i="11" s="1"/>
  <c r="H130" i="11" s="1"/>
  <c r="X115" i="11"/>
  <c r="W115" i="11"/>
  <c r="V115" i="11"/>
  <c r="X114" i="11"/>
  <c r="W114" i="11"/>
  <c r="V114" i="11"/>
  <c r="X113" i="11"/>
  <c r="W113" i="11"/>
  <c r="V113" i="11"/>
  <c r="X112" i="11"/>
  <c r="W112" i="11"/>
  <c r="V112" i="11"/>
  <c r="X111" i="11"/>
  <c r="W111" i="11"/>
  <c r="V111" i="11"/>
  <c r="X110" i="11"/>
  <c r="W110" i="11"/>
  <c r="V110" i="11"/>
  <c r="X109" i="11"/>
  <c r="W109" i="11"/>
  <c r="V109" i="11"/>
  <c r="X108" i="11"/>
  <c r="W108" i="11"/>
  <c r="V108" i="11"/>
  <c r="X107" i="11"/>
  <c r="W107" i="11"/>
  <c r="V107" i="11"/>
  <c r="X106" i="11"/>
  <c r="W106" i="11"/>
  <c r="V106" i="11"/>
  <c r="X105" i="11"/>
  <c r="W105" i="11"/>
  <c r="V105" i="11"/>
  <c r="X104" i="11"/>
  <c r="W104" i="11"/>
  <c r="V104" i="11"/>
  <c r="X103" i="11"/>
  <c r="W103" i="11"/>
  <c r="V103" i="11"/>
  <c r="X102" i="11"/>
  <c r="W102" i="11"/>
  <c r="V102" i="11"/>
  <c r="X101" i="11"/>
  <c r="W101" i="11"/>
  <c r="V101" i="11"/>
  <c r="X100" i="11"/>
  <c r="W100" i="11"/>
  <c r="V100" i="11"/>
  <c r="X99" i="11"/>
  <c r="W99" i="11"/>
  <c r="V99" i="11"/>
  <c r="X98" i="11"/>
  <c r="W98" i="11"/>
  <c r="V98" i="11"/>
  <c r="X97" i="11"/>
  <c r="W97" i="11"/>
  <c r="V97" i="11"/>
  <c r="X96" i="11"/>
  <c r="W96" i="11"/>
  <c r="V96" i="11"/>
  <c r="X95" i="11"/>
  <c r="W95" i="11"/>
  <c r="V95" i="11"/>
  <c r="X94" i="11"/>
  <c r="W94" i="11"/>
  <c r="V94" i="11"/>
  <c r="X93" i="11"/>
  <c r="W93" i="11"/>
  <c r="V93" i="11"/>
  <c r="X92" i="11"/>
  <c r="W92" i="11"/>
  <c r="V92" i="11"/>
  <c r="X91" i="11"/>
  <c r="W91" i="11"/>
  <c r="V91" i="11"/>
  <c r="X90" i="11"/>
  <c r="W90" i="11"/>
  <c r="V90" i="11"/>
  <c r="X89" i="11"/>
  <c r="W89" i="11"/>
  <c r="V89" i="11"/>
  <c r="X88" i="11"/>
  <c r="W88" i="11"/>
  <c r="V88" i="11"/>
  <c r="X87" i="11"/>
  <c r="W87" i="11"/>
  <c r="V87" i="11"/>
  <c r="X86" i="11"/>
  <c r="W86" i="11"/>
  <c r="V86" i="11"/>
  <c r="X85" i="11"/>
  <c r="W85" i="11"/>
  <c r="V85" i="11"/>
  <c r="X84" i="11"/>
  <c r="W84" i="11"/>
  <c r="V84" i="11"/>
  <c r="X83" i="11"/>
  <c r="W83" i="11"/>
  <c r="V83" i="11"/>
  <c r="X82" i="11"/>
  <c r="W82" i="11"/>
  <c r="V82" i="11"/>
  <c r="X81" i="11"/>
  <c r="W81" i="11"/>
  <c r="V81" i="11"/>
  <c r="X80" i="11"/>
  <c r="W80" i="11"/>
  <c r="V80" i="11"/>
  <c r="X79" i="11"/>
  <c r="W79" i="11"/>
  <c r="V79" i="11"/>
  <c r="X78" i="11"/>
  <c r="W78" i="11"/>
  <c r="V78" i="11"/>
  <c r="X77" i="11"/>
  <c r="W77" i="11"/>
  <c r="V77" i="11"/>
  <c r="X76" i="11"/>
  <c r="W76" i="11"/>
  <c r="V76" i="11"/>
  <c r="X75" i="11"/>
  <c r="W75" i="11"/>
  <c r="V75" i="11"/>
  <c r="X74" i="11"/>
  <c r="W74" i="11"/>
  <c r="V74" i="11"/>
  <c r="X73" i="11"/>
  <c r="W73" i="11"/>
  <c r="V73" i="11"/>
  <c r="X72" i="11"/>
  <c r="W72" i="11"/>
  <c r="V72" i="11"/>
  <c r="X71" i="11"/>
  <c r="W71" i="11"/>
  <c r="V71" i="11"/>
  <c r="X70" i="11"/>
  <c r="W70" i="11"/>
  <c r="V70" i="11"/>
  <c r="X69" i="11"/>
  <c r="W69" i="11"/>
  <c r="V69" i="11"/>
  <c r="X68" i="11"/>
  <c r="W68" i="11"/>
  <c r="V68" i="11"/>
  <c r="X67" i="11"/>
  <c r="W67" i="11"/>
  <c r="V67" i="11"/>
  <c r="X66" i="11"/>
  <c r="W66" i="11"/>
  <c r="V66" i="11"/>
  <c r="X65" i="11"/>
  <c r="W65" i="11"/>
  <c r="V65" i="11"/>
  <c r="X64" i="11"/>
  <c r="W64" i="11"/>
  <c r="V64" i="11"/>
  <c r="X63" i="11"/>
  <c r="W63" i="11"/>
  <c r="V63" i="11"/>
  <c r="X62" i="11"/>
  <c r="W62" i="11"/>
  <c r="V62" i="11"/>
  <c r="X61" i="11"/>
  <c r="W61" i="11"/>
  <c r="V61" i="11"/>
  <c r="X60" i="11"/>
  <c r="W60" i="11"/>
  <c r="V60" i="11"/>
  <c r="X59" i="11"/>
  <c r="W59" i="11"/>
  <c r="V59" i="11"/>
  <c r="X58" i="11"/>
  <c r="W58" i="11"/>
  <c r="V58" i="11"/>
  <c r="X57" i="11"/>
  <c r="W57" i="11"/>
  <c r="V57" i="11"/>
  <c r="X56" i="11"/>
  <c r="W56" i="11"/>
  <c r="V56" i="11"/>
  <c r="X55" i="11"/>
  <c r="W55" i="11"/>
  <c r="V55" i="11"/>
  <c r="X54" i="11"/>
  <c r="W54" i="11"/>
  <c r="V54" i="11"/>
  <c r="X53" i="11"/>
  <c r="W53" i="11"/>
  <c r="V53" i="11"/>
  <c r="X52" i="11"/>
  <c r="W52" i="11"/>
  <c r="V52" i="11"/>
  <c r="X51" i="11"/>
  <c r="W51" i="11"/>
  <c r="V51" i="11"/>
  <c r="X50" i="11"/>
  <c r="W50" i="11"/>
  <c r="V50" i="11"/>
  <c r="X49" i="11"/>
  <c r="W49" i="11"/>
  <c r="V49" i="11"/>
  <c r="X48" i="11"/>
  <c r="W48" i="11"/>
  <c r="V48" i="11"/>
  <c r="X47" i="11"/>
  <c r="W47" i="11"/>
  <c r="V47" i="11"/>
  <c r="X46" i="11"/>
  <c r="W46" i="11"/>
  <c r="V46" i="11"/>
  <c r="X45" i="11"/>
  <c r="W45" i="11"/>
  <c r="V45" i="11"/>
  <c r="X44" i="11"/>
  <c r="W44" i="11"/>
  <c r="V44" i="11"/>
  <c r="X43" i="11"/>
  <c r="W43" i="11"/>
  <c r="V43" i="11"/>
  <c r="X42" i="11"/>
  <c r="W42" i="11"/>
  <c r="V42" i="11"/>
  <c r="X41" i="11"/>
  <c r="W41" i="11"/>
  <c r="V41" i="11"/>
  <c r="X40" i="11"/>
  <c r="W40" i="11"/>
  <c r="V40" i="11"/>
  <c r="X39" i="11"/>
  <c r="W39" i="11"/>
  <c r="V39" i="11"/>
  <c r="X38" i="11"/>
  <c r="W38" i="11"/>
  <c r="V38" i="11"/>
  <c r="X37" i="11"/>
  <c r="W37" i="11"/>
  <c r="V37" i="11"/>
  <c r="X36" i="11"/>
  <c r="W36" i="11"/>
  <c r="V36" i="11"/>
  <c r="X35" i="11"/>
  <c r="W35" i="11"/>
  <c r="V35" i="11"/>
  <c r="X34" i="11"/>
  <c r="W34" i="11"/>
  <c r="V34" i="11"/>
  <c r="X33" i="11"/>
  <c r="W33" i="11"/>
  <c r="V33" i="11"/>
  <c r="X32" i="11"/>
  <c r="W32" i="11"/>
  <c r="V32" i="11"/>
  <c r="X31" i="11"/>
  <c r="W31" i="11"/>
  <c r="V31" i="11"/>
  <c r="X30" i="11"/>
  <c r="W30" i="11"/>
  <c r="V30" i="11"/>
  <c r="X29" i="11"/>
  <c r="W29" i="11"/>
  <c r="V29" i="11"/>
  <c r="X28" i="11"/>
  <c r="W28" i="11"/>
  <c r="V28" i="11"/>
  <c r="AA27" i="11"/>
  <c r="X27" i="11"/>
  <c r="W27" i="11"/>
  <c r="V27" i="11"/>
  <c r="AA26" i="11"/>
  <c r="X26" i="11"/>
  <c r="W26" i="11"/>
  <c r="V26" i="11"/>
  <c r="AA25" i="11"/>
  <c r="X25" i="11"/>
  <c r="W25" i="11"/>
  <c r="V25" i="11"/>
  <c r="AA24" i="11"/>
  <c r="X24" i="11"/>
  <c r="W24" i="11"/>
  <c r="V24" i="11"/>
  <c r="AA23" i="11"/>
  <c r="X23" i="11"/>
  <c r="W23" i="11"/>
  <c r="V23" i="11"/>
  <c r="AA22" i="11"/>
  <c r="X22" i="11"/>
  <c r="W22" i="11"/>
  <c r="V22" i="11"/>
  <c r="AA21" i="11"/>
  <c r="X21" i="11"/>
  <c r="W21" i="11"/>
  <c r="V21" i="11"/>
  <c r="AA20" i="11"/>
  <c r="X20" i="11"/>
  <c r="W20" i="11"/>
  <c r="V20" i="11"/>
  <c r="AA19" i="11"/>
  <c r="X19" i="11"/>
  <c r="W19" i="11"/>
  <c r="V19" i="11"/>
  <c r="AA18" i="11"/>
  <c r="X18" i="11"/>
  <c r="W18" i="11"/>
  <c r="V18" i="11"/>
  <c r="AA17" i="11"/>
  <c r="X17" i="11"/>
  <c r="W17" i="11"/>
  <c r="V17" i="11"/>
  <c r="AA16" i="11"/>
  <c r="X16" i="11"/>
  <c r="W16" i="11"/>
  <c r="V16" i="11"/>
  <c r="AA15" i="11"/>
  <c r="X15" i="11"/>
  <c r="W15" i="11"/>
  <c r="V15" i="11"/>
  <c r="AA14" i="11"/>
  <c r="X14" i="11"/>
  <c r="W14" i="11"/>
  <c r="V14" i="11"/>
  <c r="AA13" i="11"/>
  <c r="X13" i="11"/>
  <c r="W13" i="11"/>
  <c r="V13" i="11"/>
  <c r="AA12" i="11"/>
  <c r="X12" i="11"/>
  <c r="W12" i="11"/>
  <c r="V12" i="11"/>
  <c r="AA11" i="11"/>
  <c r="X11" i="11"/>
  <c r="W11" i="11"/>
  <c r="V11" i="11"/>
  <c r="AA10" i="11"/>
  <c r="X10" i="11"/>
  <c r="W10" i="11"/>
  <c r="V10" i="11"/>
  <c r="AA9" i="11"/>
  <c r="X9" i="11"/>
  <c r="W9" i="11"/>
  <c r="V9" i="11"/>
  <c r="AA8" i="11"/>
  <c r="X8" i="11"/>
  <c r="W8" i="11"/>
  <c r="V8" i="11"/>
  <c r="AA7" i="11"/>
  <c r="X7" i="11"/>
  <c r="W7" i="11"/>
  <c r="V7" i="11"/>
  <c r="AA6" i="11"/>
  <c r="X6" i="11"/>
  <c r="W6" i="11"/>
  <c r="W116" i="11" s="1"/>
  <c r="V6" i="11"/>
  <c r="AA5" i="11"/>
  <c r="X5" i="11"/>
  <c r="W5" i="11"/>
  <c r="V5" i="11"/>
  <c r="F179" i="10"/>
  <c r="H177" i="10"/>
  <c r="H176" i="10"/>
  <c r="H169" i="10"/>
  <c r="A169" i="10"/>
  <c r="H168" i="10"/>
  <c r="A168" i="10"/>
  <c r="H167" i="10"/>
  <c r="A167" i="10"/>
  <c r="H166" i="10"/>
  <c r="A166" i="10"/>
  <c r="H165" i="10"/>
  <c r="A165" i="10"/>
  <c r="H164" i="10"/>
  <c r="A164" i="10"/>
  <c r="H163" i="10"/>
  <c r="A163" i="10"/>
  <c r="H162" i="10"/>
  <c r="A162" i="10"/>
  <c r="H161" i="10"/>
  <c r="A161" i="10"/>
  <c r="H160" i="10"/>
  <c r="A160" i="10"/>
  <c r="H159" i="10"/>
  <c r="A159" i="10"/>
  <c r="H158" i="10"/>
  <c r="A158" i="10"/>
  <c r="H157" i="10"/>
  <c r="A157" i="10"/>
  <c r="H156" i="10"/>
  <c r="A156" i="10"/>
  <c r="H155" i="10"/>
  <c r="A155" i="10"/>
  <c r="H154" i="10"/>
  <c r="A154" i="10"/>
  <c r="H153" i="10"/>
  <c r="A153" i="10"/>
  <c r="H152" i="10"/>
  <c r="A152" i="10"/>
  <c r="H151" i="10"/>
  <c r="A151" i="10"/>
  <c r="H150" i="10"/>
  <c r="A150" i="10"/>
  <c r="H149" i="10"/>
  <c r="A149" i="10"/>
  <c r="H148" i="10"/>
  <c r="A148" i="10"/>
  <c r="H147" i="10"/>
  <c r="A147" i="10"/>
  <c r="H144" i="10"/>
  <c r="H143" i="10"/>
  <c r="H142" i="10"/>
  <c r="H141" i="10"/>
  <c r="H140" i="10"/>
  <c r="H129" i="10"/>
  <c r="H128" i="10"/>
  <c r="H127" i="10"/>
  <c r="H130" i="10" s="1"/>
  <c r="I121" i="10"/>
  <c r="I122" i="10" s="1"/>
  <c r="H121" i="10"/>
  <c r="H122" i="10" s="1"/>
  <c r="G121" i="10"/>
  <c r="G122" i="10" s="1"/>
  <c r="F121" i="10"/>
  <c r="F122" i="10" s="1"/>
  <c r="E121" i="10"/>
  <c r="D121" i="10"/>
  <c r="C121" i="10"/>
  <c r="I120" i="10"/>
  <c r="H120" i="10"/>
  <c r="G120" i="10"/>
  <c r="F120" i="10"/>
  <c r="E120" i="10"/>
  <c r="D120" i="10"/>
  <c r="C120" i="10"/>
  <c r="C122" i="10" s="1"/>
  <c r="AB116" i="10"/>
  <c r="G13" i="1" s="1"/>
  <c r="Y116" i="10"/>
  <c r="U116" i="10"/>
  <c r="T116" i="10"/>
  <c r="S116" i="10"/>
  <c r="R116" i="10"/>
  <c r="Q116" i="10"/>
  <c r="P116" i="10"/>
  <c r="H139" i="10" s="1"/>
  <c r="O116" i="10"/>
  <c r="H138" i="10" s="1"/>
  <c r="N116" i="10"/>
  <c r="H137" i="10" s="1"/>
  <c r="M116" i="10"/>
  <c r="H136" i="10" s="1"/>
  <c r="L116" i="10"/>
  <c r="H135" i="10" s="1"/>
  <c r="K116" i="10"/>
  <c r="J116" i="10"/>
  <c r="I116" i="10"/>
  <c r="H116" i="10"/>
  <c r="G116" i="10"/>
  <c r="X115" i="10"/>
  <c r="W115" i="10"/>
  <c r="V115" i="10"/>
  <c r="X114" i="10"/>
  <c r="W114" i="10"/>
  <c r="V114" i="10"/>
  <c r="X113" i="10"/>
  <c r="W113" i="10"/>
  <c r="V113" i="10"/>
  <c r="X112" i="10"/>
  <c r="W112" i="10"/>
  <c r="V112" i="10"/>
  <c r="X111" i="10"/>
  <c r="W111" i="10"/>
  <c r="V111" i="10"/>
  <c r="X110" i="10"/>
  <c r="W110" i="10"/>
  <c r="V110" i="10"/>
  <c r="X109" i="10"/>
  <c r="W109" i="10"/>
  <c r="V109" i="10"/>
  <c r="X108" i="10"/>
  <c r="W108" i="10"/>
  <c r="V108" i="10"/>
  <c r="X107" i="10"/>
  <c r="W107" i="10"/>
  <c r="V107" i="10"/>
  <c r="X106" i="10"/>
  <c r="W106" i="10"/>
  <c r="V106" i="10"/>
  <c r="X105" i="10"/>
  <c r="W105" i="10"/>
  <c r="V105" i="10"/>
  <c r="X104" i="10"/>
  <c r="W104" i="10"/>
  <c r="V104" i="10"/>
  <c r="X103" i="10"/>
  <c r="W103" i="10"/>
  <c r="V103" i="10"/>
  <c r="X102" i="10"/>
  <c r="W102" i="10"/>
  <c r="V102" i="10"/>
  <c r="X101" i="10"/>
  <c r="W101" i="10"/>
  <c r="V101" i="10"/>
  <c r="X100" i="10"/>
  <c r="W100" i="10"/>
  <c r="V100" i="10"/>
  <c r="X99" i="10"/>
  <c r="W99" i="10"/>
  <c r="V99" i="10"/>
  <c r="X98" i="10"/>
  <c r="W98" i="10"/>
  <c r="V98" i="10"/>
  <c r="X97" i="10"/>
  <c r="W97" i="10"/>
  <c r="V97" i="10"/>
  <c r="X96" i="10"/>
  <c r="W96" i="10"/>
  <c r="V96" i="10"/>
  <c r="X95" i="10"/>
  <c r="W95" i="10"/>
  <c r="V95" i="10"/>
  <c r="X94" i="10"/>
  <c r="W94" i="10"/>
  <c r="V94" i="10"/>
  <c r="X93" i="10"/>
  <c r="W93" i="10"/>
  <c r="V93" i="10"/>
  <c r="X92" i="10"/>
  <c r="W92" i="10"/>
  <c r="V92" i="10"/>
  <c r="X91" i="10"/>
  <c r="W91" i="10"/>
  <c r="V91" i="10"/>
  <c r="X90" i="10"/>
  <c r="W90" i="10"/>
  <c r="V90" i="10"/>
  <c r="X89" i="10"/>
  <c r="W89" i="10"/>
  <c r="V89" i="10"/>
  <c r="X88" i="10"/>
  <c r="W88" i="10"/>
  <c r="V88" i="10"/>
  <c r="X87" i="10"/>
  <c r="W87" i="10"/>
  <c r="V87" i="10"/>
  <c r="X86" i="10"/>
  <c r="W86" i="10"/>
  <c r="V86" i="10"/>
  <c r="X85" i="10"/>
  <c r="W85" i="10"/>
  <c r="V85" i="10"/>
  <c r="X84" i="10"/>
  <c r="W84" i="10"/>
  <c r="V84" i="10"/>
  <c r="X83" i="10"/>
  <c r="W83" i="10"/>
  <c r="V83" i="10"/>
  <c r="X82" i="10"/>
  <c r="W82" i="10"/>
  <c r="V82" i="10"/>
  <c r="X81" i="10"/>
  <c r="W81" i="10"/>
  <c r="V81" i="10"/>
  <c r="X80" i="10"/>
  <c r="W80" i="10"/>
  <c r="V80" i="10"/>
  <c r="X79" i="10"/>
  <c r="W79" i="10"/>
  <c r="V79" i="10"/>
  <c r="X78" i="10"/>
  <c r="W78" i="10"/>
  <c r="V78" i="10"/>
  <c r="X77" i="10"/>
  <c r="W77" i="10"/>
  <c r="V77" i="10"/>
  <c r="X76" i="10"/>
  <c r="W76" i="10"/>
  <c r="V76" i="10"/>
  <c r="X75" i="10"/>
  <c r="W75" i="10"/>
  <c r="V75" i="10"/>
  <c r="X74" i="10"/>
  <c r="W74" i="10"/>
  <c r="V74" i="10"/>
  <c r="X73" i="10"/>
  <c r="W73" i="10"/>
  <c r="V73" i="10"/>
  <c r="X72" i="10"/>
  <c r="W72" i="10"/>
  <c r="V72" i="10"/>
  <c r="X71" i="10"/>
  <c r="W71" i="10"/>
  <c r="V71" i="10"/>
  <c r="X70" i="10"/>
  <c r="W70" i="10"/>
  <c r="V70" i="10"/>
  <c r="X69" i="10"/>
  <c r="W69" i="10"/>
  <c r="V69" i="10"/>
  <c r="X68" i="10"/>
  <c r="W68" i="10"/>
  <c r="V68" i="10"/>
  <c r="X67" i="10"/>
  <c r="W67" i="10"/>
  <c r="V67" i="10"/>
  <c r="X66" i="10"/>
  <c r="W66" i="10"/>
  <c r="V66" i="10"/>
  <c r="X65" i="10"/>
  <c r="W65" i="10"/>
  <c r="V65" i="10"/>
  <c r="X64" i="10"/>
  <c r="W64" i="10"/>
  <c r="V64" i="10"/>
  <c r="X63" i="10"/>
  <c r="W63" i="10"/>
  <c r="V63" i="10"/>
  <c r="X62" i="10"/>
  <c r="W62" i="10"/>
  <c r="V62" i="10"/>
  <c r="X61" i="10"/>
  <c r="W61" i="10"/>
  <c r="V61" i="10"/>
  <c r="X60" i="10"/>
  <c r="W60" i="10"/>
  <c r="V60" i="10"/>
  <c r="X59" i="10"/>
  <c r="W59" i="10"/>
  <c r="V59" i="10"/>
  <c r="X58" i="10"/>
  <c r="W58" i="10"/>
  <c r="V58" i="10"/>
  <c r="X57" i="10"/>
  <c r="W57" i="10"/>
  <c r="V57" i="10"/>
  <c r="X56" i="10"/>
  <c r="W56" i="10"/>
  <c r="V56" i="10"/>
  <c r="X55" i="10"/>
  <c r="W55" i="10"/>
  <c r="V55" i="10"/>
  <c r="X54" i="10"/>
  <c r="W54" i="10"/>
  <c r="V54" i="10"/>
  <c r="X53" i="10"/>
  <c r="W53" i="10"/>
  <c r="V53" i="10"/>
  <c r="X52" i="10"/>
  <c r="W52" i="10"/>
  <c r="V52" i="10"/>
  <c r="X51" i="10"/>
  <c r="W51" i="10"/>
  <c r="V51" i="10"/>
  <c r="X50" i="10"/>
  <c r="W50" i="10"/>
  <c r="V50" i="10"/>
  <c r="X49" i="10"/>
  <c r="W49" i="10"/>
  <c r="V49" i="10"/>
  <c r="X48" i="10"/>
  <c r="W48" i="10"/>
  <c r="V48" i="10"/>
  <c r="X47" i="10"/>
  <c r="W47" i="10"/>
  <c r="V47" i="10"/>
  <c r="X46" i="10"/>
  <c r="W46" i="10"/>
  <c r="V46" i="10"/>
  <c r="X45" i="10"/>
  <c r="W45" i="10"/>
  <c r="V45" i="10"/>
  <c r="X44" i="10"/>
  <c r="W44" i="10"/>
  <c r="V44" i="10"/>
  <c r="X43" i="10"/>
  <c r="W43" i="10"/>
  <c r="V43" i="10"/>
  <c r="X42" i="10"/>
  <c r="W42" i="10"/>
  <c r="V42" i="10"/>
  <c r="X41" i="10"/>
  <c r="W41" i="10"/>
  <c r="V41" i="10"/>
  <c r="X40" i="10"/>
  <c r="W40" i="10"/>
  <c r="V40" i="10"/>
  <c r="X39" i="10"/>
  <c r="W39" i="10"/>
  <c r="V39" i="10"/>
  <c r="X38" i="10"/>
  <c r="W38" i="10"/>
  <c r="V38" i="10"/>
  <c r="X37" i="10"/>
  <c r="W37" i="10"/>
  <c r="V37" i="10"/>
  <c r="X36" i="10"/>
  <c r="W36" i="10"/>
  <c r="V36" i="10"/>
  <c r="X35" i="10"/>
  <c r="W35" i="10"/>
  <c r="V35" i="10"/>
  <c r="X34" i="10"/>
  <c r="W34" i="10"/>
  <c r="V34" i="10"/>
  <c r="X33" i="10"/>
  <c r="W33" i="10"/>
  <c r="V33" i="10"/>
  <c r="X32" i="10"/>
  <c r="W32" i="10"/>
  <c r="V32" i="10"/>
  <c r="X31" i="10"/>
  <c r="W31" i="10"/>
  <c r="V31" i="10"/>
  <c r="X30" i="10"/>
  <c r="W30" i="10"/>
  <c r="V30" i="10"/>
  <c r="X29" i="10"/>
  <c r="X116" i="10" s="1"/>
  <c r="W29" i="10"/>
  <c r="V29" i="10"/>
  <c r="X28" i="10"/>
  <c r="W28" i="10"/>
  <c r="V28" i="10"/>
  <c r="AA27" i="10"/>
  <c r="X27" i="10"/>
  <c r="W27" i="10"/>
  <c r="V27" i="10"/>
  <c r="AA26" i="10"/>
  <c r="X26" i="10"/>
  <c r="W26" i="10"/>
  <c r="V26" i="10"/>
  <c r="AA25" i="10"/>
  <c r="X25" i="10"/>
  <c r="W25" i="10"/>
  <c r="V25" i="10"/>
  <c r="AA24" i="10"/>
  <c r="X24" i="10"/>
  <c r="W24" i="10"/>
  <c r="W116" i="10" s="1"/>
  <c r="V24" i="10"/>
  <c r="AA23" i="10"/>
  <c r="X23" i="10"/>
  <c r="W23" i="10"/>
  <c r="V23" i="10"/>
  <c r="AA22" i="10"/>
  <c r="X22" i="10"/>
  <c r="W22" i="10"/>
  <c r="V22" i="10"/>
  <c r="AA21" i="10"/>
  <c r="X21" i="10"/>
  <c r="W21" i="10"/>
  <c r="V21" i="10"/>
  <c r="AA20" i="10"/>
  <c r="X20" i="10"/>
  <c r="W20" i="10"/>
  <c r="V20" i="10"/>
  <c r="AA19" i="10"/>
  <c r="X19" i="10"/>
  <c r="W19" i="10"/>
  <c r="V19" i="10"/>
  <c r="AA18" i="10"/>
  <c r="X18" i="10"/>
  <c r="W18" i="10"/>
  <c r="V18" i="10"/>
  <c r="AA17" i="10"/>
  <c r="X17" i="10"/>
  <c r="W17" i="10"/>
  <c r="V17" i="10"/>
  <c r="AA16" i="10"/>
  <c r="X16" i="10"/>
  <c r="W16" i="10"/>
  <c r="V16" i="10"/>
  <c r="AA15" i="10"/>
  <c r="X15" i="10"/>
  <c r="W15" i="10"/>
  <c r="V15" i="10"/>
  <c r="AA14" i="10"/>
  <c r="X14" i="10"/>
  <c r="W14" i="10"/>
  <c r="V14" i="10"/>
  <c r="AA13" i="10"/>
  <c r="X13" i="10"/>
  <c r="W13" i="10"/>
  <c r="V13" i="10"/>
  <c r="AA12" i="10"/>
  <c r="X12" i="10"/>
  <c r="W12" i="10"/>
  <c r="V12" i="10"/>
  <c r="AA11" i="10"/>
  <c r="X11" i="10"/>
  <c r="W11" i="10"/>
  <c r="V11" i="10"/>
  <c r="AA10" i="10"/>
  <c r="X10" i="10"/>
  <c r="W10" i="10"/>
  <c r="V10" i="10"/>
  <c r="AA9" i="10"/>
  <c r="X9" i="10"/>
  <c r="W9" i="10"/>
  <c r="V9" i="10"/>
  <c r="AA8" i="10"/>
  <c r="X8" i="10"/>
  <c r="W8" i="10"/>
  <c r="V8" i="10"/>
  <c r="AA7" i="10"/>
  <c r="X7" i="10"/>
  <c r="W7" i="10"/>
  <c r="V7" i="10"/>
  <c r="AA6" i="10"/>
  <c r="X6" i="10"/>
  <c r="W6" i="10"/>
  <c r="V6" i="10"/>
  <c r="AA5" i="10"/>
  <c r="X5" i="10"/>
  <c r="W5" i="10"/>
  <c r="V5" i="10"/>
  <c r="V116" i="10" s="1"/>
  <c r="F179" i="9"/>
  <c r="H177" i="9"/>
  <c r="H176" i="9"/>
  <c r="H169" i="9"/>
  <c r="A169" i="9"/>
  <c r="H168" i="9"/>
  <c r="A168" i="9"/>
  <c r="H167" i="9"/>
  <c r="A167" i="9"/>
  <c r="H166" i="9"/>
  <c r="A166" i="9"/>
  <c r="H165" i="9"/>
  <c r="A165" i="9"/>
  <c r="H164" i="9"/>
  <c r="A164" i="9"/>
  <c r="H163" i="9"/>
  <c r="A163" i="9"/>
  <c r="H162" i="9"/>
  <c r="A162" i="9"/>
  <c r="H161" i="9"/>
  <c r="A161" i="9"/>
  <c r="H160" i="9"/>
  <c r="A160" i="9"/>
  <c r="H159" i="9"/>
  <c r="A159" i="9"/>
  <c r="H158" i="9"/>
  <c r="A158" i="9"/>
  <c r="H157" i="9"/>
  <c r="A157" i="9"/>
  <c r="H156" i="9"/>
  <c r="A156" i="9"/>
  <c r="H155" i="9"/>
  <c r="A155" i="9"/>
  <c r="H154" i="9"/>
  <c r="A154" i="9"/>
  <c r="H153" i="9"/>
  <c r="A153" i="9"/>
  <c r="H152" i="9"/>
  <c r="A152" i="9"/>
  <c r="H151" i="9"/>
  <c r="A151" i="9"/>
  <c r="H150" i="9"/>
  <c r="A150" i="9"/>
  <c r="H149" i="9"/>
  <c r="A149" i="9"/>
  <c r="H148" i="9"/>
  <c r="A148" i="9"/>
  <c r="H147" i="9"/>
  <c r="A147" i="9"/>
  <c r="H142" i="9"/>
  <c r="H141" i="9"/>
  <c r="H140" i="9"/>
  <c r="H139" i="9"/>
  <c r="H138" i="9"/>
  <c r="H137" i="9"/>
  <c r="H128" i="9"/>
  <c r="H127" i="9"/>
  <c r="I121" i="9"/>
  <c r="H121" i="9"/>
  <c r="G121" i="9"/>
  <c r="F121" i="9"/>
  <c r="F122" i="9" s="1"/>
  <c r="E121" i="9"/>
  <c r="E122" i="9" s="1"/>
  <c r="D121" i="9"/>
  <c r="D122" i="9" s="1"/>
  <c r="C121" i="9"/>
  <c r="C122" i="9" s="1"/>
  <c r="I120" i="9"/>
  <c r="I122" i="9" s="1"/>
  <c r="H120" i="9"/>
  <c r="H122" i="9" s="1"/>
  <c r="G120" i="9"/>
  <c r="G122" i="9" s="1"/>
  <c r="F120" i="9"/>
  <c r="E120" i="9"/>
  <c r="D120" i="9"/>
  <c r="C120" i="9"/>
  <c r="AB116" i="9"/>
  <c r="G12" i="1" s="1"/>
  <c r="Y116" i="9"/>
  <c r="U116" i="9"/>
  <c r="H144" i="9" s="1"/>
  <c r="T116" i="9"/>
  <c r="H143" i="9" s="1"/>
  <c r="S116" i="9"/>
  <c r="R116" i="9"/>
  <c r="Q116" i="9"/>
  <c r="P116" i="9"/>
  <c r="O116" i="9"/>
  <c r="N116" i="9"/>
  <c r="M116" i="9"/>
  <c r="H136" i="9" s="1"/>
  <c r="L116" i="9"/>
  <c r="H135" i="9" s="1"/>
  <c r="K116" i="9"/>
  <c r="H134" i="9" s="1"/>
  <c r="J116" i="9"/>
  <c r="H129" i="9" s="1"/>
  <c r="I116" i="9"/>
  <c r="H116" i="9"/>
  <c r="G116" i="9"/>
  <c r="X115" i="9"/>
  <c r="W115" i="9"/>
  <c r="V115" i="9"/>
  <c r="X114" i="9"/>
  <c r="W114" i="9"/>
  <c r="V114" i="9"/>
  <c r="X113" i="9"/>
  <c r="W113" i="9"/>
  <c r="V113" i="9"/>
  <c r="X112" i="9"/>
  <c r="W112" i="9"/>
  <c r="V112" i="9"/>
  <c r="X111" i="9"/>
  <c r="W111" i="9"/>
  <c r="V111" i="9"/>
  <c r="X110" i="9"/>
  <c r="W110" i="9"/>
  <c r="V110" i="9"/>
  <c r="X109" i="9"/>
  <c r="W109" i="9"/>
  <c r="V109" i="9"/>
  <c r="X108" i="9"/>
  <c r="W108" i="9"/>
  <c r="V108" i="9"/>
  <c r="X107" i="9"/>
  <c r="W107" i="9"/>
  <c r="V107" i="9"/>
  <c r="X106" i="9"/>
  <c r="W106" i="9"/>
  <c r="V106" i="9"/>
  <c r="X105" i="9"/>
  <c r="W105" i="9"/>
  <c r="V105" i="9"/>
  <c r="X104" i="9"/>
  <c r="W104" i="9"/>
  <c r="V104" i="9"/>
  <c r="X103" i="9"/>
  <c r="W103" i="9"/>
  <c r="V103" i="9"/>
  <c r="X102" i="9"/>
  <c r="W102" i="9"/>
  <c r="V102" i="9"/>
  <c r="X101" i="9"/>
  <c r="W101" i="9"/>
  <c r="V101" i="9"/>
  <c r="X100" i="9"/>
  <c r="W100" i="9"/>
  <c r="V100" i="9"/>
  <c r="X99" i="9"/>
  <c r="W99" i="9"/>
  <c r="V99" i="9"/>
  <c r="X98" i="9"/>
  <c r="W98" i="9"/>
  <c r="V98" i="9"/>
  <c r="X97" i="9"/>
  <c r="W97" i="9"/>
  <c r="V97" i="9"/>
  <c r="X96" i="9"/>
  <c r="W96" i="9"/>
  <c r="V96" i="9"/>
  <c r="X95" i="9"/>
  <c r="W95" i="9"/>
  <c r="V95" i="9"/>
  <c r="X94" i="9"/>
  <c r="W94" i="9"/>
  <c r="V94" i="9"/>
  <c r="X93" i="9"/>
  <c r="W93" i="9"/>
  <c r="V93" i="9"/>
  <c r="X92" i="9"/>
  <c r="W92" i="9"/>
  <c r="V92" i="9"/>
  <c r="X91" i="9"/>
  <c r="W91" i="9"/>
  <c r="V91" i="9"/>
  <c r="X90" i="9"/>
  <c r="W90" i="9"/>
  <c r="V90" i="9"/>
  <c r="X89" i="9"/>
  <c r="W89" i="9"/>
  <c r="V89" i="9"/>
  <c r="X88" i="9"/>
  <c r="W88" i="9"/>
  <c r="V88" i="9"/>
  <c r="X87" i="9"/>
  <c r="W87" i="9"/>
  <c r="V87" i="9"/>
  <c r="X86" i="9"/>
  <c r="W86" i="9"/>
  <c r="V86" i="9"/>
  <c r="X85" i="9"/>
  <c r="W85" i="9"/>
  <c r="V85" i="9"/>
  <c r="X84" i="9"/>
  <c r="W84" i="9"/>
  <c r="V84" i="9"/>
  <c r="X83" i="9"/>
  <c r="W83" i="9"/>
  <c r="V83" i="9"/>
  <c r="X82" i="9"/>
  <c r="W82" i="9"/>
  <c r="V82" i="9"/>
  <c r="X81" i="9"/>
  <c r="W81" i="9"/>
  <c r="V81" i="9"/>
  <c r="X80" i="9"/>
  <c r="W80" i="9"/>
  <c r="V80" i="9"/>
  <c r="X79" i="9"/>
  <c r="W79" i="9"/>
  <c r="V79" i="9"/>
  <c r="X78" i="9"/>
  <c r="W78" i="9"/>
  <c r="V78" i="9"/>
  <c r="X77" i="9"/>
  <c r="W77" i="9"/>
  <c r="V77" i="9"/>
  <c r="X76" i="9"/>
  <c r="W76" i="9"/>
  <c r="V76" i="9"/>
  <c r="X75" i="9"/>
  <c r="W75" i="9"/>
  <c r="V75" i="9"/>
  <c r="X74" i="9"/>
  <c r="W74" i="9"/>
  <c r="V74" i="9"/>
  <c r="X73" i="9"/>
  <c r="W73" i="9"/>
  <c r="V73" i="9"/>
  <c r="X72" i="9"/>
  <c r="W72" i="9"/>
  <c r="V72" i="9"/>
  <c r="X71" i="9"/>
  <c r="W71" i="9"/>
  <c r="V71" i="9"/>
  <c r="X70" i="9"/>
  <c r="W70" i="9"/>
  <c r="V70" i="9"/>
  <c r="X69" i="9"/>
  <c r="W69" i="9"/>
  <c r="V69" i="9"/>
  <c r="X68" i="9"/>
  <c r="W68" i="9"/>
  <c r="V68" i="9"/>
  <c r="X67" i="9"/>
  <c r="W67" i="9"/>
  <c r="V67" i="9"/>
  <c r="X66" i="9"/>
  <c r="W66" i="9"/>
  <c r="V66" i="9"/>
  <c r="X65" i="9"/>
  <c r="W65" i="9"/>
  <c r="V65" i="9"/>
  <c r="X64" i="9"/>
  <c r="W64" i="9"/>
  <c r="V64" i="9"/>
  <c r="X63" i="9"/>
  <c r="W63" i="9"/>
  <c r="V63" i="9"/>
  <c r="X62" i="9"/>
  <c r="W62" i="9"/>
  <c r="V62" i="9"/>
  <c r="X61" i="9"/>
  <c r="W61" i="9"/>
  <c r="V61" i="9"/>
  <c r="X60" i="9"/>
  <c r="W60" i="9"/>
  <c r="V60" i="9"/>
  <c r="X59" i="9"/>
  <c r="W59" i="9"/>
  <c r="V59" i="9"/>
  <c r="X58" i="9"/>
  <c r="W58" i="9"/>
  <c r="V58" i="9"/>
  <c r="X57" i="9"/>
  <c r="W57" i="9"/>
  <c r="V57" i="9"/>
  <c r="X56" i="9"/>
  <c r="W56" i="9"/>
  <c r="V56" i="9"/>
  <c r="X55" i="9"/>
  <c r="W55" i="9"/>
  <c r="V55" i="9"/>
  <c r="X54" i="9"/>
  <c r="W54" i="9"/>
  <c r="V54" i="9"/>
  <c r="X53" i="9"/>
  <c r="W53" i="9"/>
  <c r="V53" i="9"/>
  <c r="X52" i="9"/>
  <c r="W52" i="9"/>
  <c r="V52" i="9"/>
  <c r="X51" i="9"/>
  <c r="W51" i="9"/>
  <c r="V51" i="9"/>
  <c r="X50" i="9"/>
  <c r="W50" i="9"/>
  <c r="V50" i="9"/>
  <c r="X49" i="9"/>
  <c r="W49" i="9"/>
  <c r="V49" i="9"/>
  <c r="X48" i="9"/>
  <c r="W48" i="9"/>
  <c r="V48" i="9"/>
  <c r="X47" i="9"/>
  <c r="W47" i="9"/>
  <c r="V47" i="9"/>
  <c r="X46" i="9"/>
  <c r="W46" i="9"/>
  <c r="V46" i="9"/>
  <c r="X45" i="9"/>
  <c r="W45" i="9"/>
  <c r="V45" i="9"/>
  <c r="X44" i="9"/>
  <c r="W44" i="9"/>
  <c r="V44" i="9"/>
  <c r="X43" i="9"/>
  <c r="W43" i="9"/>
  <c r="V43" i="9"/>
  <c r="X42" i="9"/>
  <c r="W42" i="9"/>
  <c r="V42" i="9"/>
  <c r="X41" i="9"/>
  <c r="W41" i="9"/>
  <c r="V41" i="9"/>
  <c r="X40" i="9"/>
  <c r="W40" i="9"/>
  <c r="V40" i="9"/>
  <c r="X39" i="9"/>
  <c r="W39" i="9"/>
  <c r="V39" i="9"/>
  <c r="X38" i="9"/>
  <c r="W38" i="9"/>
  <c r="V38" i="9"/>
  <c r="X37" i="9"/>
  <c r="W37" i="9"/>
  <c r="V37" i="9"/>
  <c r="X36" i="9"/>
  <c r="W36" i="9"/>
  <c r="V36" i="9"/>
  <c r="X35" i="9"/>
  <c r="W35" i="9"/>
  <c r="V35" i="9"/>
  <c r="X34" i="9"/>
  <c r="W34" i="9"/>
  <c r="V34" i="9"/>
  <c r="X33" i="9"/>
  <c r="W33" i="9"/>
  <c r="V33" i="9"/>
  <c r="X32" i="9"/>
  <c r="W32" i="9"/>
  <c r="V32" i="9"/>
  <c r="X31" i="9"/>
  <c r="W31" i="9"/>
  <c r="V31" i="9"/>
  <c r="X30" i="9"/>
  <c r="W30" i="9"/>
  <c r="V30" i="9"/>
  <c r="X29" i="9"/>
  <c r="X116" i="9" s="1"/>
  <c r="W29" i="9"/>
  <c r="W116" i="9" s="1"/>
  <c r="V29" i="9"/>
  <c r="X28" i="9"/>
  <c r="W28" i="9"/>
  <c r="V28" i="9"/>
  <c r="AA27" i="9"/>
  <c r="X27" i="9"/>
  <c r="W27" i="9"/>
  <c r="V27" i="9"/>
  <c r="AA26" i="9"/>
  <c r="X26" i="9"/>
  <c r="W26" i="9"/>
  <c r="V26" i="9"/>
  <c r="AA25" i="9"/>
  <c r="X25" i="9"/>
  <c r="W25" i="9"/>
  <c r="V25" i="9"/>
  <c r="AA24" i="9"/>
  <c r="X24" i="9"/>
  <c r="W24" i="9"/>
  <c r="V24" i="9"/>
  <c r="AA23" i="9"/>
  <c r="X23" i="9"/>
  <c r="W23" i="9"/>
  <c r="V23" i="9"/>
  <c r="AA22" i="9"/>
  <c r="X22" i="9"/>
  <c r="W22" i="9"/>
  <c r="V22" i="9"/>
  <c r="AA21" i="9"/>
  <c r="X21" i="9"/>
  <c r="W21" i="9"/>
  <c r="V21" i="9"/>
  <c r="AA20" i="9"/>
  <c r="X20" i="9"/>
  <c r="W20" i="9"/>
  <c r="V20" i="9"/>
  <c r="AA19" i="9"/>
  <c r="X19" i="9"/>
  <c r="W19" i="9"/>
  <c r="V19" i="9"/>
  <c r="AA18" i="9"/>
  <c r="X18" i="9"/>
  <c r="W18" i="9"/>
  <c r="V18" i="9"/>
  <c r="AA17" i="9"/>
  <c r="X17" i="9"/>
  <c r="W17" i="9"/>
  <c r="V17" i="9"/>
  <c r="AA16" i="9"/>
  <c r="X16" i="9"/>
  <c r="W16" i="9"/>
  <c r="V16" i="9"/>
  <c r="AA15" i="9"/>
  <c r="X15" i="9"/>
  <c r="W15" i="9"/>
  <c r="V15" i="9"/>
  <c r="AA14" i="9"/>
  <c r="X14" i="9"/>
  <c r="W14" i="9"/>
  <c r="V14" i="9"/>
  <c r="AA13" i="9"/>
  <c r="X13" i="9"/>
  <c r="W13" i="9"/>
  <c r="V13" i="9"/>
  <c r="AA12" i="9"/>
  <c r="X12" i="9"/>
  <c r="W12" i="9"/>
  <c r="V12" i="9"/>
  <c r="AA11" i="9"/>
  <c r="X11" i="9"/>
  <c r="W11" i="9"/>
  <c r="V11" i="9"/>
  <c r="AA10" i="9"/>
  <c r="X10" i="9"/>
  <c r="W10" i="9"/>
  <c r="V10" i="9"/>
  <c r="AA9" i="9"/>
  <c r="X9" i="9"/>
  <c r="W9" i="9"/>
  <c r="V9" i="9"/>
  <c r="AA8" i="9"/>
  <c r="X8" i="9"/>
  <c r="W8" i="9"/>
  <c r="V8" i="9"/>
  <c r="AA7" i="9"/>
  <c r="X7" i="9"/>
  <c r="W7" i="9"/>
  <c r="V7" i="9"/>
  <c r="AA6" i="9"/>
  <c r="X6" i="9"/>
  <c r="W6" i="9"/>
  <c r="V6" i="9"/>
  <c r="AA5" i="9"/>
  <c r="X5" i="9"/>
  <c r="W5" i="9"/>
  <c r="V5" i="9"/>
  <c r="V116" i="9" s="1"/>
  <c r="F179" i="8"/>
  <c r="H177" i="8"/>
  <c r="H176" i="8"/>
  <c r="H169" i="8"/>
  <c r="A169" i="8"/>
  <c r="H168" i="8"/>
  <c r="A168" i="8"/>
  <c r="H167" i="8"/>
  <c r="A167" i="8"/>
  <c r="H166" i="8"/>
  <c r="A166" i="8"/>
  <c r="H165" i="8"/>
  <c r="A165" i="8"/>
  <c r="H164" i="8"/>
  <c r="A164" i="8"/>
  <c r="H163" i="8"/>
  <c r="A163" i="8"/>
  <c r="H162" i="8"/>
  <c r="A162" i="8"/>
  <c r="H161" i="8"/>
  <c r="A161" i="8"/>
  <c r="H160" i="8"/>
  <c r="A160" i="8"/>
  <c r="H159" i="8"/>
  <c r="A159" i="8"/>
  <c r="H158" i="8"/>
  <c r="A158" i="8"/>
  <c r="H157" i="8"/>
  <c r="A157" i="8"/>
  <c r="H156" i="8"/>
  <c r="A156" i="8"/>
  <c r="H155" i="8"/>
  <c r="A155" i="8"/>
  <c r="H154" i="8"/>
  <c r="A154" i="8"/>
  <c r="H153" i="8"/>
  <c r="A153" i="8"/>
  <c r="H152" i="8"/>
  <c r="A152" i="8"/>
  <c r="H151" i="8"/>
  <c r="A151" i="8"/>
  <c r="H150" i="8"/>
  <c r="A150" i="8"/>
  <c r="H149" i="8"/>
  <c r="A149" i="8"/>
  <c r="H148" i="8"/>
  <c r="A148" i="8"/>
  <c r="H147" i="8"/>
  <c r="A147" i="8"/>
  <c r="H140" i="8"/>
  <c r="H138" i="8"/>
  <c r="H137" i="8"/>
  <c r="H136" i="8"/>
  <c r="H135" i="8"/>
  <c r="H134" i="8"/>
  <c r="G122" i="8"/>
  <c r="F122" i="8"/>
  <c r="D122" i="8"/>
  <c r="C122" i="8"/>
  <c r="I121" i="8"/>
  <c r="H121" i="8"/>
  <c r="G121" i="8"/>
  <c r="F121" i="8"/>
  <c r="E121" i="8"/>
  <c r="D121" i="8"/>
  <c r="C121" i="8"/>
  <c r="I120" i="8"/>
  <c r="I122" i="8" s="1"/>
  <c r="H120" i="8"/>
  <c r="H122" i="8" s="1"/>
  <c r="G120" i="8"/>
  <c r="F120" i="8"/>
  <c r="E120" i="8"/>
  <c r="E122" i="8" s="1"/>
  <c r="D120" i="8"/>
  <c r="C120" i="8"/>
  <c r="AB116" i="8"/>
  <c r="H170" i="8" s="1"/>
  <c r="Y116" i="8"/>
  <c r="U116" i="8"/>
  <c r="H144" i="8" s="1"/>
  <c r="T116" i="8"/>
  <c r="H143" i="8" s="1"/>
  <c r="S116" i="8"/>
  <c r="H142" i="8" s="1"/>
  <c r="R116" i="8"/>
  <c r="H141" i="8" s="1"/>
  <c r="Q116" i="8"/>
  <c r="P116" i="8"/>
  <c r="H139" i="8" s="1"/>
  <c r="O116" i="8"/>
  <c r="N116" i="8"/>
  <c r="M116" i="8"/>
  <c r="L116" i="8"/>
  <c r="K116" i="8"/>
  <c r="J116" i="8"/>
  <c r="H129" i="8" s="1"/>
  <c r="I116" i="8"/>
  <c r="H116" i="8"/>
  <c r="H128" i="8" s="1"/>
  <c r="G116" i="8"/>
  <c r="H127" i="8" s="1"/>
  <c r="H130" i="8" s="1"/>
  <c r="X115" i="8"/>
  <c r="W115" i="8"/>
  <c r="V115" i="8"/>
  <c r="X114" i="8"/>
  <c r="W114" i="8"/>
  <c r="V114" i="8"/>
  <c r="X113" i="8"/>
  <c r="W113" i="8"/>
  <c r="V113" i="8"/>
  <c r="X112" i="8"/>
  <c r="W112" i="8"/>
  <c r="V112" i="8"/>
  <c r="X111" i="8"/>
  <c r="W111" i="8"/>
  <c r="V111" i="8"/>
  <c r="X110" i="8"/>
  <c r="W110" i="8"/>
  <c r="V110" i="8"/>
  <c r="X109" i="8"/>
  <c r="W109" i="8"/>
  <c r="V109" i="8"/>
  <c r="X108" i="8"/>
  <c r="W108" i="8"/>
  <c r="V108" i="8"/>
  <c r="X107" i="8"/>
  <c r="W107" i="8"/>
  <c r="V107" i="8"/>
  <c r="X106" i="8"/>
  <c r="W106" i="8"/>
  <c r="V106" i="8"/>
  <c r="X105" i="8"/>
  <c r="W105" i="8"/>
  <c r="V105" i="8"/>
  <c r="X104" i="8"/>
  <c r="W104" i="8"/>
  <c r="V104" i="8"/>
  <c r="X103" i="8"/>
  <c r="W103" i="8"/>
  <c r="V103" i="8"/>
  <c r="X102" i="8"/>
  <c r="W102" i="8"/>
  <c r="V102" i="8"/>
  <c r="X101" i="8"/>
  <c r="W101" i="8"/>
  <c r="V101" i="8"/>
  <c r="X100" i="8"/>
  <c r="W100" i="8"/>
  <c r="V100" i="8"/>
  <c r="X99" i="8"/>
  <c r="W99" i="8"/>
  <c r="V99" i="8"/>
  <c r="X98" i="8"/>
  <c r="W98" i="8"/>
  <c r="V98" i="8"/>
  <c r="X97" i="8"/>
  <c r="W97" i="8"/>
  <c r="V97" i="8"/>
  <c r="X96" i="8"/>
  <c r="W96" i="8"/>
  <c r="V96" i="8"/>
  <c r="X95" i="8"/>
  <c r="W95" i="8"/>
  <c r="V95" i="8"/>
  <c r="X94" i="8"/>
  <c r="W94" i="8"/>
  <c r="V94" i="8"/>
  <c r="X93" i="8"/>
  <c r="W93" i="8"/>
  <c r="V93" i="8"/>
  <c r="X92" i="8"/>
  <c r="W92" i="8"/>
  <c r="V92" i="8"/>
  <c r="X91" i="8"/>
  <c r="W91" i="8"/>
  <c r="V91" i="8"/>
  <c r="X90" i="8"/>
  <c r="W90" i="8"/>
  <c r="V90" i="8"/>
  <c r="X89" i="8"/>
  <c r="W89" i="8"/>
  <c r="V89" i="8"/>
  <c r="X88" i="8"/>
  <c r="W88" i="8"/>
  <c r="V88" i="8"/>
  <c r="X87" i="8"/>
  <c r="W87" i="8"/>
  <c r="V87" i="8"/>
  <c r="X86" i="8"/>
  <c r="W86" i="8"/>
  <c r="V86" i="8"/>
  <c r="X85" i="8"/>
  <c r="W85" i="8"/>
  <c r="V85" i="8"/>
  <c r="X84" i="8"/>
  <c r="W84" i="8"/>
  <c r="V84" i="8"/>
  <c r="X83" i="8"/>
  <c r="W83" i="8"/>
  <c r="V83" i="8"/>
  <c r="X82" i="8"/>
  <c r="W82" i="8"/>
  <c r="V82" i="8"/>
  <c r="X81" i="8"/>
  <c r="W81" i="8"/>
  <c r="V81" i="8"/>
  <c r="X80" i="8"/>
  <c r="W80" i="8"/>
  <c r="V80" i="8"/>
  <c r="X79" i="8"/>
  <c r="W79" i="8"/>
  <c r="V79" i="8"/>
  <c r="X78" i="8"/>
  <c r="W78" i="8"/>
  <c r="V78" i="8"/>
  <c r="X77" i="8"/>
  <c r="W77" i="8"/>
  <c r="V77" i="8"/>
  <c r="X76" i="8"/>
  <c r="W76" i="8"/>
  <c r="V76" i="8"/>
  <c r="X75" i="8"/>
  <c r="W75" i="8"/>
  <c r="V75" i="8"/>
  <c r="X74" i="8"/>
  <c r="W74" i="8"/>
  <c r="V74" i="8"/>
  <c r="X73" i="8"/>
  <c r="W73" i="8"/>
  <c r="V73" i="8"/>
  <c r="X72" i="8"/>
  <c r="W72" i="8"/>
  <c r="V72" i="8"/>
  <c r="X71" i="8"/>
  <c r="W71" i="8"/>
  <c r="V71" i="8"/>
  <c r="X70" i="8"/>
  <c r="W70" i="8"/>
  <c r="V70" i="8"/>
  <c r="X69" i="8"/>
  <c r="W69" i="8"/>
  <c r="V69" i="8"/>
  <c r="X68" i="8"/>
  <c r="W68" i="8"/>
  <c r="V68" i="8"/>
  <c r="X67" i="8"/>
  <c r="W67" i="8"/>
  <c r="V67" i="8"/>
  <c r="X66" i="8"/>
  <c r="W66" i="8"/>
  <c r="V66" i="8"/>
  <c r="X65" i="8"/>
  <c r="W65" i="8"/>
  <c r="V65" i="8"/>
  <c r="X64" i="8"/>
  <c r="W64" i="8"/>
  <c r="V64" i="8"/>
  <c r="X63" i="8"/>
  <c r="W63" i="8"/>
  <c r="V63" i="8"/>
  <c r="X62" i="8"/>
  <c r="W62" i="8"/>
  <c r="V62" i="8"/>
  <c r="X61" i="8"/>
  <c r="W61" i="8"/>
  <c r="V61" i="8"/>
  <c r="X60" i="8"/>
  <c r="W60" i="8"/>
  <c r="V60" i="8"/>
  <c r="X59" i="8"/>
  <c r="W59" i="8"/>
  <c r="V59" i="8"/>
  <c r="X58" i="8"/>
  <c r="W58" i="8"/>
  <c r="V58" i="8"/>
  <c r="X57" i="8"/>
  <c r="W57" i="8"/>
  <c r="V57" i="8"/>
  <c r="X56" i="8"/>
  <c r="W56" i="8"/>
  <c r="V56" i="8"/>
  <c r="X55" i="8"/>
  <c r="W55" i="8"/>
  <c r="V55" i="8"/>
  <c r="X54" i="8"/>
  <c r="W54" i="8"/>
  <c r="V54" i="8"/>
  <c r="X53" i="8"/>
  <c r="W53" i="8"/>
  <c r="V53" i="8"/>
  <c r="X52" i="8"/>
  <c r="W52" i="8"/>
  <c r="V52" i="8"/>
  <c r="X51" i="8"/>
  <c r="W51" i="8"/>
  <c r="V51" i="8"/>
  <c r="X50" i="8"/>
  <c r="W50" i="8"/>
  <c r="V50" i="8"/>
  <c r="X49" i="8"/>
  <c r="W49" i="8"/>
  <c r="V49" i="8"/>
  <c r="X48" i="8"/>
  <c r="W48" i="8"/>
  <c r="V48" i="8"/>
  <c r="X47" i="8"/>
  <c r="W47" i="8"/>
  <c r="V47" i="8"/>
  <c r="X46" i="8"/>
  <c r="W46" i="8"/>
  <c r="V46" i="8"/>
  <c r="X45" i="8"/>
  <c r="W45" i="8"/>
  <c r="V45" i="8"/>
  <c r="X44" i="8"/>
  <c r="W44" i="8"/>
  <c r="V44" i="8"/>
  <c r="X43" i="8"/>
  <c r="W43" i="8"/>
  <c r="V43" i="8"/>
  <c r="X42" i="8"/>
  <c r="W42" i="8"/>
  <c r="V42" i="8"/>
  <c r="X41" i="8"/>
  <c r="W41" i="8"/>
  <c r="V41" i="8"/>
  <c r="X40" i="8"/>
  <c r="W40" i="8"/>
  <c r="V40" i="8"/>
  <c r="X39" i="8"/>
  <c r="W39" i="8"/>
  <c r="V39" i="8"/>
  <c r="X38" i="8"/>
  <c r="W38" i="8"/>
  <c r="V38" i="8"/>
  <c r="X37" i="8"/>
  <c r="W37" i="8"/>
  <c r="V37" i="8"/>
  <c r="X36" i="8"/>
  <c r="W36" i="8"/>
  <c r="V36" i="8"/>
  <c r="X35" i="8"/>
  <c r="W35" i="8"/>
  <c r="V35" i="8"/>
  <c r="X34" i="8"/>
  <c r="W34" i="8"/>
  <c r="V34" i="8"/>
  <c r="X33" i="8"/>
  <c r="W33" i="8"/>
  <c r="V33" i="8"/>
  <c r="X32" i="8"/>
  <c r="W32" i="8"/>
  <c r="V32" i="8"/>
  <c r="X31" i="8"/>
  <c r="W31" i="8"/>
  <c r="V31" i="8"/>
  <c r="X30" i="8"/>
  <c r="W30" i="8"/>
  <c r="V30" i="8"/>
  <c r="X29" i="8"/>
  <c r="W29" i="8"/>
  <c r="V29" i="8"/>
  <c r="X28" i="8"/>
  <c r="W28" i="8"/>
  <c r="V28" i="8"/>
  <c r="AA27" i="8"/>
  <c r="X27" i="8"/>
  <c r="W27" i="8"/>
  <c r="V27" i="8"/>
  <c r="AA26" i="8"/>
  <c r="X26" i="8"/>
  <c r="W26" i="8"/>
  <c r="V26" i="8"/>
  <c r="AA25" i="8"/>
  <c r="X25" i="8"/>
  <c r="W25" i="8"/>
  <c r="V25" i="8"/>
  <c r="AA24" i="8"/>
  <c r="X24" i="8"/>
  <c r="W24" i="8"/>
  <c r="V24" i="8"/>
  <c r="AA23" i="8"/>
  <c r="X23" i="8"/>
  <c r="W23" i="8"/>
  <c r="V23" i="8"/>
  <c r="AA22" i="8"/>
  <c r="X22" i="8"/>
  <c r="W22" i="8"/>
  <c r="V22" i="8"/>
  <c r="AA21" i="8"/>
  <c r="X21" i="8"/>
  <c r="W21" i="8"/>
  <c r="V21" i="8"/>
  <c r="AA20" i="8"/>
  <c r="X20" i="8"/>
  <c r="W20" i="8"/>
  <c r="V20" i="8"/>
  <c r="AA19" i="8"/>
  <c r="X19" i="8"/>
  <c r="W19" i="8"/>
  <c r="V19" i="8"/>
  <c r="AA18" i="8"/>
  <c r="X18" i="8"/>
  <c r="W18" i="8"/>
  <c r="V18" i="8"/>
  <c r="AA17" i="8"/>
  <c r="X17" i="8"/>
  <c r="W17" i="8"/>
  <c r="V17" i="8"/>
  <c r="AA16" i="8"/>
  <c r="X16" i="8"/>
  <c r="W16" i="8"/>
  <c r="V16" i="8"/>
  <c r="AA15" i="8"/>
  <c r="X15" i="8"/>
  <c r="W15" i="8"/>
  <c r="V15" i="8"/>
  <c r="AA14" i="8"/>
  <c r="X14" i="8"/>
  <c r="W14" i="8"/>
  <c r="V14" i="8"/>
  <c r="AA13" i="8"/>
  <c r="X13" i="8"/>
  <c r="W13" i="8"/>
  <c r="V13" i="8"/>
  <c r="AA12" i="8"/>
  <c r="X12" i="8"/>
  <c r="W12" i="8"/>
  <c r="V12" i="8"/>
  <c r="AA11" i="8"/>
  <c r="X11" i="8"/>
  <c r="W11" i="8"/>
  <c r="V11" i="8"/>
  <c r="AA10" i="8"/>
  <c r="X10" i="8"/>
  <c r="W10" i="8"/>
  <c r="V10" i="8"/>
  <c r="AA9" i="8"/>
  <c r="X9" i="8"/>
  <c r="W9" i="8"/>
  <c r="V9" i="8"/>
  <c r="AA8" i="8"/>
  <c r="X8" i="8"/>
  <c r="W8" i="8"/>
  <c r="V8" i="8"/>
  <c r="AA7" i="8"/>
  <c r="X7" i="8"/>
  <c r="W7" i="8"/>
  <c r="V7" i="8"/>
  <c r="V116" i="8" s="1"/>
  <c r="AA6" i="8"/>
  <c r="X6" i="8"/>
  <c r="W6" i="8"/>
  <c r="V6" i="8"/>
  <c r="AA5" i="8"/>
  <c r="X5" i="8"/>
  <c r="W5" i="8"/>
  <c r="V5" i="8"/>
  <c r="F179" i="7"/>
  <c r="H177" i="7"/>
  <c r="H176" i="7"/>
  <c r="H169" i="7"/>
  <c r="A169" i="7"/>
  <c r="H168" i="7"/>
  <c r="A168" i="7"/>
  <c r="H167" i="7"/>
  <c r="A167" i="7"/>
  <c r="H166" i="7"/>
  <c r="A166" i="7"/>
  <c r="H165" i="7"/>
  <c r="A165" i="7"/>
  <c r="H164" i="7"/>
  <c r="A164" i="7"/>
  <c r="H163" i="7"/>
  <c r="A163" i="7"/>
  <c r="H162" i="7"/>
  <c r="A162" i="7"/>
  <c r="H161" i="7"/>
  <c r="A161" i="7"/>
  <c r="H160" i="7"/>
  <c r="A160" i="7"/>
  <c r="H159" i="7"/>
  <c r="A159" i="7"/>
  <c r="H158" i="7"/>
  <c r="A158" i="7"/>
  <c r="H157" i="7"/>
  <c r="A157" i="7"/>
  <c r="H156" i="7"/>
  <c r="A156" i="7"/>
  <c r="H155" i="7"/>
  <c r="A155" i="7"/>
  <c r="H154" i="7"/>
  <c r="A154" i="7"/>
  <c r="H153" i="7"/>
  <c r="A153" i="7"/>
  <c r="H152" i="7"/>
  <c r="A152" i="7"/>
  <c r="H151" i="7"/>
  <c r="A151" i="7"/>
  <c r="H150" i="7"/>
  <c r="A150" i="7"/>
  <c r="H149" i="7"/>
  <c r="A149" i="7"/>
  <c r="H148" i="7"/>
  <c r="A148" i="7"/>
  <c r="H147" i="7"/>
  <c r="A147" i="7"/>
  <c r="H144" i="7"/>
  <c r="H143" i="7"/>
  <c r="H135" i="7"/>
  <c r="H134" i="7"/>
  <c r="H129" i="7"/>
  <c r="H128" i="7"/>
  <c r="D122" i="7"/>
  <c r="C122" i="7"/>
  <c r="I121" i="7"/>
  <c r="I122" i="7" s="1"/>
  <c r="H121" i="7"/>
  <c r="G121" i="7"/>
  <c r="F121" i="7"/>
  <c r="E121" i="7"/>
  <c r="D121" i="7"/>
  <c r="C121" i="7"/>
  <c r="I120" i="7"/>
  <c r="H120" i="7"/>
  <c r="G120" i="7"/>
  <c r="F120" i="7"/>
  <c r="F122" i="7" s="1"/>
  <c r="E120" i="7"/>
  <c r="E122" i="7" s="1"/>
  <c r="D120" i="7"/>
  <c r="C120" i="7"/>
  <c r="AB116" i="7"/>
  <c r="H170" i="7" s="1"/>
  <c r="Y116" i="7"/>
  <c r="U116" i="7"/>
  <c r="T116" i="7"/>
  <c r="S116" i="7"/>
  <c r="H142" i="7" s="1"/>
  <c r="R116" i="7"/>
  <c r="H141" i="7" s="1"/>
  <c r="Q116" i="7"/>
  <c r="H140" i="7" s="1"/>
  <c r="P116" i="7"/>
  <c r="H139" i="7" s="1"/>
  <c r="O116" i="7"/>
  <c r="H138" i="7" s="1"/>
  <c r="N116" i="7"/>
  <c r="H137" i="7" s="1"/>
  <c r="M116" i="7"/>
  <c r="H136" i="7" s="1"/>
  <c r="H145" i="7" s="1"/>
  <c r="H171" i="7" s="1"/>
  <c r="H10" i="1" s="1"/>
  <c r="L116" i="7"/>
  <c r="K116" i="7"/>
  <c r="J116" i="7"/>
  <c r="I116" i="7"/>
  <c r="H116" i="7"/>
  <c r="G116" i="7"/>
  <c r="H127" i="7" s="1"/>
  <c r="H130" i="7" s="1"/>
  <c r="X115" i="7"/>
  <c r="W115" i="7"/>
  <c r="V115" i="7"/>
  <c r="X114" i="7"/>
  <c r="W114" i="7"/>
  <c r="V114" i="7"/>
  <c r="X113" i="7"/>
  <c r="W113" i="7"/>
  <c r="V113" i="7"/>
  <c r="X112" i="7"/>
  <c r="W112" i="7"/>
  <c r="V112" i="7"/>
  <c r="X111" i="7"/>
  <c r="W111" i="7"/>
  <c r="V111" i="7"/>
  <c r="X110" i="7"/>
  <c r="W110" i="7"/>
  <c r="V110" i="7"/>
  <c r="X109" i="7"/>
  <c r="W109" i="7"/>
  <c r="V109" i="7"/>
  <c r="X108" i="7"/>
  <c r="W108" i="7"/>
  <c r="V108" i="7"/>
  <c r="X107" i="7"/>
  <c r="W107" i="7"/>
  <c r="V107" i="7"/>
  <c r="X106" i="7"/>
  <c r="W106" i="7"/>
  <c r="V106" i="7"/>
  <c r="X105" i="7"/>
  <c r="W105" i="7"/>
  <c r="V105" i="7"/>
  <c r="X104" i="7"/>
  <c r="W104" i="7"/>
  <c r="V104" i="7"/>
  <c r="X103" i="7"/>
  <c r="W103" i="7"/>
  <c r="V103" i="7"/>
  <c r="X102" i="7"/>
  <c r="W102" i="7"/>
  <c r="V102" i="7"/>
  <c r="X101" i="7"/>
  <c r="W101" i="7"/>
  <c r="V101" i="7"/>
  <c r="X100" i="7"/>
  <c r="W100" i="7"/>
  <c r="V100" i="7"/>
  <c r="X99" i="7"/>
  <c r="W99" i="7"/>
  <c r="V99" i="7"/>
  <c r="X98" i="7"/>
  <c r="W98" i="7"/>
  <c r="V98" i="7"/>
  <c r="X97" i="7"/>
  <c r="W97" i="7"/>
  <c r="V97" i="7"/>
  <c r="X96" i="7"/>
  <c r="W96" i="7"/>
  <c r="V96" i="7"/>
  <c r="X95" i="7"/>
  <c r="W95" i="7"/>
  <c r="V95" i="7"/>
  <c r="X94" i="7"/>
  <c r="W94" i="7"/>
  <c r="V94" i="7"/>
  <c r="X93" i="7"/>
  <c r="W93" i="7"/>
  <c r="V93" i="7"/>
  <c r="X92" i="7"/>
  <c r="W92" i="7"/>
  <c r="V92" i="7"/>
  <c r="X91" i="7"/>
  <c r="W91" i="7"/>
  <c r="V91" i="7"/>
  <c r="X90" i="7"/>
  <c r="W90" i="7"/>
  <c r="V90" i="7"/>
  <c r="X89" i="7"/>
  <c r="W89" i="7"/>
  <c r="V89" i="7"/>
  <c r="X88" i="7"/>
  <c r="W88" i="7"/>
  <c r="V88" i="7"/>
  <c r="X87" i="7"/>
  <c r="W87" i="7"/>
  <c r="V87" i="7"/>
  <c r="X86" i="7"/>
  <c r="W86" i="7"/>
  <c r="V86" i="7"/>
  <c r="X85" i="7"/>
  <c r="W85" i="7"/>
  <c r="V85" i="7"/>
  <c r="X84" i="7"/>
  <c r="W84" i="7"/>
  <c r="V84" i="7"/>
  <c r="X83" i="7"/>
  <c r="W83" i="7"/>
  <c r="V83" i="7"/>
  <c r="X82" i="7"/>
  <c r="W82" i="7"/>
  <c r="V82" i="7"/>
  <c r="X81" i="7"/>
  <c r="W81" i="7"/>
  <c r="V81" i="7"/>
  <c r="X80" i="7"/>
  <c r="W80" i="7"/>
  <c r="V80" i="7"/>
  <c r="X79" i="7"/>
  <c r="W79" i="7"/>
  <c r="V79" i="7"/>
  <c r="X78" i="7"/>
  <c r="W78" i="7"/>
  <c r="V78" i="7"/>
  <c r="X77" i="7"/>
  <c r="W77" i="7"/>
  <c r="V77" i="7"/>
  <c r="X76" i="7"/>
  <c r="W76" i="7"/>
  <c r="V76" i="7"/>
  <c r="X75" i="7"/>
  <c r="W75" i="7"/>
  <c r="V75" i="7"/>
  <c r="X74" i="7"/>
  <c r="W74" i="7"/>
  <c r="V74" i="7"/>
  <c r="X73" i="7"/>
  <c r="W73" i="7"/>
  <c r="V73" i="7"/>
  <c r="X72" i="7"/>
  <c r="W72" i="7"/>
  <c r="V72" i="7"/>
  <c r="X71" i="7"/>
  <c r="W71" i="7"/>
  <c r="V71" i="7"/>
  <c r="X70" i="7"/>
  <c r="W70" i="7"/>
  <c r="V70" i="7"/>
  <c r="X69" i="7"/>
  <c r="W69" i="7"/>
  <c r="V69" i="7"/>
  <c r="X68" i="7"/>
  <c r="W68" i="7"/>
  <c r="V68" i="7"/>
  <c r="X67" i="7"/>
  <c r="W67" i="7"/>
  <c r="V67" i="7"/>
  <c r="X66" i="7"/>
  <c r="W66" i="7"/>
  <c r="V66" i="7"/>
  <c r="X65" i="7"/>
  <c r="W65" i="7"/>
  <c r="V65" i="7"/>
  <c r="X64" i="7"/>
  <c r="W64" i="7"/>
  <c r="V64" i="7"/>
  <c r="X63" i="7"/>
  <c r="W63" i="7"/>
  <c r="V63" i="7"/>
  <c r="X62" i="7"/>
  <c r="W62" i="7"/>
  <c r="V62" i="7"/>
  <c r="X61" i="7"/>
  <c r="W61" i="7"/>
  <c r="V61" i="7"/>
  <c r="X60" i="7"/>
  <c r="W60" i="7"/>
  <c r="V60" i="7"/>
  <c r="X59" i="7"/>
  <c r="W59" i="7"/>
  <c r="V59" i="7"/>
  <c r="X58" i="7"/>
  <c r="W58" i="7"/>
  <c r="V58" i="7"/>
  <c r="X57" i="7"/>
  <c r="W57" i="7"/>
  <c r="V57" i="7"/>
  <c r="X56" i="7"/>
  <c r="W56" i="7"/>
  <c r="V56" i="7"/>
  <c r="X55" i="7"/>
  <c r="W55" i="7"/>
  <c r="V55" i="7"/>
  <c r="X54" i="7"/>
  <c r="W54" i="7"/>
  <c r="V54" i="7"/>
  <c r="X53" i="7"/>
  <c r="W53" i="7"/>
  <c r="V53" i="7"/>
  <c r="X52" i="7"/>
  <c r="W52" i="7"/>
  <c r="V52" i="7"/>
  <c r="X51" i="7"/>
  <c r="W51" i="7"/>
  <c r="V51" i="7"/>
  <c r="X50" i="7"/>
  <c r="W50" i="7"/>
  <c r="V50" i="7"/>
  <c r="X49" i="7"/>
  <c r="W49" i="7"/>
  <c r="V49" i="7"/>
  <c r="X48" i="7"/>
  <c r="W48" i="7"/>
  <c r="V48" i="7"/>
  <c r="X47" i="7"/>
  <c r="W47" i="7"/>
  <c r="V47" i="7"/>
  <c r="X46" i="7"/>
  <c r="W46" i="7"/>
  <c r="V46" i="7"/>
  <c r="X45" i="7"/>
  <c r="W45" i="7"/>
  <c r="V45" i="7"/>
  <c r="X44" i="7"/>
  <c r="W44" i="7"/>
  <c r="V44" i="7"/>
  <c r="X43" i="7"/>
  <c r="W43" i="7"/>
  <c r="V43" i="7"/>
  <c r="X42" i="7"/>
  <c r="W42" i="7"/>
  <c r="V42" i="7"/>
  <c r="X41" i="7"/>
  <c r="W41" i="7"/>
  <c r="V41" i="7"/>
  <c r="X40" i="7"/>
  <c r="W40" i="7"/>
  <c r="V40" i="7"/>
  <c r="X39" i="7"/>
  <c r="W39" i="7"/>
  <c r="V39" i="7"/>
  <c r="X38" i="7"/>
  <c r="W38" i="7"/>
  <c r="V38" i="7"/>
  <c r="X37" i="7"/>
  <c r="W37" i="7"/>
  <c r="V37" i="7"/>
  <c r="X36" i="7"/>
  <c r="W36" i="7"/>
  <c r="V36" i="7"/>
  <c r="X35" i="7"/>
  <c r="W35" i="7"/>
  <c r="V35" i="7"/>
  <c r="X34" i="7"/>
  <c r="W34" i="7"/>
  <c r="V34" i="7"/>
  <c r="X33" i="7"/>
  <c r="W33" i="7"/>
  <c r="V33" i="7"/>
  <c r="X32" i="7"/>
  <c r="W32" i="7"/>
  <c r="V32" i="7"/>
  <c r="X31" i="7"/>
  <c r="W31" i="7"/>
  <c r="V31" i="7"/>
  <c r="X30" i="7"/>
  <c r="W30" i="7"/>
  <c r="V30" i="7"/>
  <c r="X29" i="7"/>
  <c r="W29" i="7"/>
  <c r="V29" i="7"/>
  <c r="X28" i="7"/>
  <c r="W28" i="7"/>
  <c r="V28" i="7"/>
  <c r="AA27" i="7"/>
  <c r="X27" i="7"/>
  <c r="W27" i="7"/>
  <c r="V27" i="7"/>
  <c r="AA26" i="7"/>
  <c r="X26" i="7"/>
  <c r="W26" i="7"/>
  <c r="V26" i="7"/>
  <c r="AA25" i="7"/>
  <c r="X25" i="7"/>
  <c r="W25" i="7"/>
  <c r="V25" i="7"/>
  <c r="AA24" i="7"/>
  <c r="X24" i="7"/>
  <c r="W24" i="7"/>
  <c r="V24" i="7"/>
  <c r="AA23" i="7"/>
  <c r="X23" i="7"/>
  <c r="W23" i="7"/>
  <c r="V23" i="7"/>
  <c r="AA22" i="7"/>
  <c r="X22" i="7"/>
  <c r="W22" i="7"/>
  <c r="V22" i="7"/>
  <c r="AA21" i="7"/>
  <c r="X21" i="7"/>
  <c r="W21" i="7"/>
  <c r="V21" i="7"/>
  <c r="AA20" i="7"/>
  <c r="X20" i="7"/>
  <c r="W20" i="7"/>
  <c r="V20" i="7"/>
  <c r="AA19" i="7"/>
  <c r="X19" i="7"/>
  <c r="W19" i="7"/>
  <c r="V19" i="7"/>
  <c r="AA18" i="7"/>
  <c r="X18" i="7"/>
  <c r="W18" i="7"/>
  <c r="V18" i="7"/>
  <c r="AA17" i="7"/>
  <c r="X17" i="7"/>
  <c r="W17" i="7"/>
  <c r="V17" i="7"/>
  <c r="AA16" i="7"/>
  <c r="X16" i="7"/>
  <c r="W16" i="7"/>
  <c r="V16" i="7"/>
  <c r="AA15" i="7"/>
  <c r="X15" i="7"/>
  <c r="W15" i="7"/>
  <c r="V15" i="7"/>
  <c r="AA14" i="7"/>
  <c r="X14" i="7"/>
  <c r="W14" i="7"/>
  <c r="V14" i="7"/>
  <c r="AA13" i="7"/>
  <c r="X13" i="7"/>
  <c r="W13" i="7"/>
  <c r="V13" i="7"/>
  <c r="AA12" i="7"/>
  <c r="X12" i="7"/>
  <c r="W12" i="7"/>
  <c r="V12" i="7"/>
  <c r="AA11" i="7"/>
  <c r="X11" i="7"/>
  <c r="W11" i="7"/>
  <c r="V11" i="7"/>
  <c r="AA10" i="7"/>
  <c r="X10" i="7"/>
  <c r="W10" i="7"/>
  <c r="V10" i="7"/>
  <c r="AA9" i="7"/>
  <c r="X9" i="7"/>
  <c r="W9" i="7"/>
  <c r="V9" i="7"/>
  <c r="AA8" i="7"/>
  <c r="X8" i="7"/>
  <c r="W8" i="7"/>
  <c r="V8" i="7"/>
  <c r="AA7" i="7"/>
  <c r="X7" i="7"/>
  <c r="W7" i="7"/>
  <c r="V7" i="7"/>
  <c r="AA6" i="7"/>
  <c r="X6" i="7"/>
  <c r="W6" i="7"/>
  <c r="V6" i="7"/>
  <c r="AA5" i="7"/>
  <c r="X5" i="7"/>
  <c r="W5" i="7"/>
  <c r="V5" i="7"/>
  <c r="F179" i="6"/>
  <c r="H177" i="6"/>
  <c r="H176" i="6"/>
  <c r="H169" i="6"/>
  <c r="A169" i="6"/>
  <c r="H168" i="6"/>
  <c r="A168" i="6"/>
  <c r="H167" i="6"/>
  <c r="A167" i="6"/>
  <c r="H166" i="6"/>
  <c r="A166" i="6"/>
  <c r="H165" i="6"/>
  <c r="A165" i="6"/>
  <c r="H164" i="6"/>
  <c r="A164" i="6"/>
  <c r="H163" i="6"/>
  <c r="A163" i="6"/>
  <c r="H162" i="6"/>
  <c r="A162" i="6"/>
  <c r="H161" i="6"/>
  <c r="A161" i="6"/>
  <c r="H160" i="6"/>
  <c r="A160" i="6"/>
  <c r="H159" i="6"/>
  <c r="A159" i="6"/>
  <c r="H158" i="6"/>
  <c r="A158" i="6"/>
  <c r="H157" i="6"/>
  <c r="A157" i="6"/>
  <c r="H156" i="6"/>
  <c r="A156" i="6"/>
  <c r="H155" i="6"/>
  <c r="A155" i="6"/>
  <c r="H154" i="6"/>
  <c r="A154" i="6"/>
  <c r="H153" i="6"/>
  <c r="A153" i="6"/>
  <c r="H152" i="6"/>
  <c r="A152" i="6"/>
  <c r="H151" i="6"/>
  <c r="A151" i="6"/>
  <c r="H150" i="6"/>
  <c r="A150" i="6"/>
  <c r="H149" i="6"/>
  <c r="A149" i="6"/>
  <c r="H148" i="6"/>
  <c r="A148" i="6"/>
  <c r="H147" i="6"/>
  <c r="A147" i="6"/>
  <c r="H144" i="6"/>
  <c r="H143" i="6"/>
  <c r="H142" i="6"/>
  <c r="H141" i="6"/>
  <c r="H140" i="6"/>
  <c r="H128" i="6"/>
  <c r="H127" i="6"/>
  <c r="I122" i="6"/>
  <c r="I121" i="6"/>
  <c r="H121" i="6"/>
  <c r="H122" i="6" s="1"/>
  <c r="G121" i="6"/>
  <c r="F121" i="6"/>
  <c r="F122" i="6" s="1"/>
  <c r="E121" i="6"/>
  <c r="D121" i="6"/>
  <c r="C121" i="6"/>
  <c r="I120" i="6"/>
  <c r="H120" i="6"/>
  <c r="G120" i="6"/>
  <c r="F120" i="6"/>
  <c r="E120" i="6"/>
  <c r="D120" i="6"/>
  <c r="C120" i="6"/>
  <c r="C122" i="6" s="1"/>
  <c r="AB116" i="6"/>
  <c r="G9" i="1" s="1"/>
  <c r="Y116" i="6"/>
  <c r="U116" i="6"/>
  <c r="T116" i="6"/>
  <c r="S116" i="6"/>
  <c r="R116" i="6"/>
  <c r="Q116" i="6"/>
  <c r="P116" i="6"/>
  <c r="H139" i="6" s="1"/>
  <c r="O116" i="6"/>
  <c r="H138" i="6" s="1"/>
  <c r="N116" i="6"/>
  <c r="H137" i="6" s="1"/>
  <c r="M116" i="6"/>
  <c r="H136" i="6" s="1"/>
  <c r="L116" i="6"/>
  <c r="H135" i="6" s="1"/>
  <c r="K116" i="6"/>
  <c r="H134" i="6" s="1"/>
  <c r="H145" i="6" s="1"/>
  <c r="J116" i="6"/>
  <c r="H129" i="6" s="1"/>
  <c r="H130" i="6" s="1"/>
  <c r="I116" i="6"/>
  <c r="H116" i="6"/>
  <c r="G116" i="6"/>
  <c r="X115" i="6"/>
  <c r="W115" i="6"/>
  <c r="V115" i="6"/>
  <c r="X114" i="6"/>
  <c r="W114" i="6"/>
  <c r="V114" i="6"/>
  <c r="X113" i="6"/>
  <c r="W113" i="6"/>
  <c r="V113" i="6"/>
  <c r="X112" i="6"/>
  <c r="W112" i="6"/>
  <c r="V112" i="6"/>
  <c r="X111" i="6"/>
  <c r="W111" i="6"/>
  <c r="V111" i="6"/>
  <c r="X110" i="6"/>
  <c r="W110" i="6"/>
  <c r="V110" i="6"/>
  <c r="X109" i="6"/>
  <c r="W109" i="6"/>
  <c r="V109" i="6"/>
  <c r="X108" i="6"/>
  <c r="W108" i="6"/>
  <c r="V108" i="6"/>
  <c r="X107" i="6"/>
  <c r="W107" i="6"/>
  <c r="V107" i="6"/>
  <c r="X106" i="6"/>
  <c r="W106" i="6"/>
  <c r="V106" i="6"/>
  <c r="X105" i="6"/>
  <c r="W105" i="6"/>
  <c r="V105" i="6"/>
  <c r="X104" i="6"/>
  <c r="W104" i="6"/>
  <c r="V104" i="6"/>
  <c r="X103" i="6"/>
  <c r="W103" i="6"/>
  <c r="V103" i="6"/>
  <c r="X102" i="6"/>
  <c r="W102" i="6"/>
  <c r="V102" i="6"/>
  <c r="X101" i="6"/>
  <c r="W101" i="6"/>
  <c r="V101" i="6"/>
  <c r="X100" i="6"/>
  <c r="W100" i="6"/>
  <c r="V100" i="6"/>
  <c r="X99" i="6"/>
  <c r="W99" i="6"/>
  <c r="V99" i="6"/>
  <c r="X98" i="6"/>
  <c r="W98" i="6"/>
  <c r="V98" i="6"/>
  <c r="X97" i="6"/>
  <c r="W97" i="6"/>
  <c r="V97" i="6"/>
  <c r="X96" i="6"/>
  <c r="W96" i="6"/>
  <c r="V96" i="6"/>
  <c r="X95" i="6"/>
  <c r="W95" i="6"/>
  <c r="V95" i="6"/>
  <c r="X94" i="6"/>
  <c r="W94" i="6"/>
  <c r="V94" i="6"/>
  <c r="X93" i="6"/>
  <c r="W93" i="6"/>
  <c r="V93" i="6"/>
  <c r="X92" i="6"/>
  <c r="W92" i="6"/>
  <c r="V92" i="6"/>
  <c r="X91" i="6"/>
  <c r="W91" i="6"/>
  <c r="V91" i="6"/>
  <c r="X90" i="6"/>
  <c r="W90" i="6"/>
  <c r="V90" i="6"/>
  <c r="X89" i="6"/>
  <c r="W89" i="6"/>
  <c r="V89" i="6"/>
  <c r="X88" i="6"/>
  <c r="W88" i="6"/>
  <c r="V88" i="6"/>
  <c r="X87" i="6"/>
  <c r="W87" i="6"/>
  <c r="V87" i="6"/>
  <c r="X86" i="6"/>
  <c r="W86" i="6"/>
  <c r="V86" i="6"/>
  <c r="X85" i="6"/>
  <c r="W85" i="6"/>
  <c r="V85" i="6"/>
  <c r="X84" i="6"/>
  <c r="W84" i="6"/>
  <c r="V84" i="6"/>
  <c r="X83" i="6"/>
  <c r="W83" i="6"/>
  <c r="V83" i="6"/>
  <c r="X82" i="6"/>
  <c r="W82" i="6"/>
  <c r="V82" i="6"/>
  <c r="X81" i="6"/>
  <c r="W81" i="6"/>
  <c r="V81" i="6"/>
  <c r="X80" i="6"/>
  <c r="W80" i="6"/>
  <c r="V80" i="6"/>
  <c r="X79" i="6"/>
  <c r="W79" i="6"/>
  <c r="V79" i="6"/>
  <c r="X78" i="6"/>
  <c r="W78" i="6"/>
  <c r="V78" i="6"/>
  <c r="X77" i="6"/>
  <c r="W77" i="6"/>
  <c r="V77" i="6"/>
  <c r="X76" i="6"/>
  <c r="W76" i="6"/>
  <c r="V76" i="6"/>
  <c r="X75" i="6"/>
  <c r="W75" i="6"/>
  <c r="V75" i="6"/>
  <c r="X74" i="6"/>
  <c r="W74" i="6"/>
  <c r="V74" i="6"/>
  <c r="X73" i="6"/>
  <c r="W73" i="6"/>
  <c r="V73" i="6"/>
  <c r="X72" i="6"/>
  <c r="W72" i="6"/>
  <c r="V72" i="6"/>
  <c r="X71" i="6"/>
  <c r="W71" i="6"/>
  <c r="V71" i="6"/>
  <c r="X70" i="6"/>
  <c r="W70" i="6"/>
  <c r="V70" i="6"/>
  <c r="X69" i="6"/>
  <c r="W69" i="6"/>
  <c r="V69" i="6"/>
  <c r="X68" i="6"/>
  <c r="W68" i="6"/>
  <c r="V68" i="6"/>
  <c r="X67" i="6"/>
  <c r="W67" i="6"/>
  <c r="V67" i="6"/>
  <c r="X66" i="6"/>
  <c r="W66" i="6"/>
  <c r="V66" i="6"/>
  <c r="X65" i="6"/>
  <c r="W65" i="6"/>
  <c r="V65" i="6"/>
  <c r="X64" i="6"/>
  <c r="W64" i="6"/>
  <c r="V64" i="6"/>
  <c r="X63" i="6"/>
  <c r="W63" i="6"/>
  <c r="V63" i="6"/>
  <c r="X62" i="6"/>
  <c r="W62" i="6"/>
  <c r="V62" i="6"/>
  <c r="X61" i="6"/>
  <c r="W61" i="6"/>
  <c r="V61" i="6"/>
  <c r="X60" i="6"/>
  <c r="W60" i="6"/>
  <c r="V60" i="6"/>
  <c r="X59" i="6"/>
  <c r="W59" i="6"/>
  <c r="V59" i="6"/>
  <c r="X58" i="6"/>
  <c r="W58" i="6"/>
  <c r="V58" i="6"/>
  <c r="X57" i="6"/>
  <c r="W57" i="6"/>
  <c r="V57" i="6"/>
  <c r="X56" i="6"/>
  <c r="W56" i="6"/>
  <c r="V56" i="6"/>
  <c r="X55" i="6"/>
  <c r="W55" i="6"/>
  <c r="V55" i="6"/>
  <c r="X54" i="6"/>
  <c r="W54" i="6"/>
  <c r="V54" i="6"/>
  <c r="X53" i="6"/>
  <c r="W53" i="6"/>
  <c r="V53" i="6"/>
  <c r="X52" i="6"/>
  <c r="W52" i="6"/>
  <c r="V52" i="6"/>
  <c r="X51" i="6"/>
  <c r="W51" i="6"/>
  <c r="V51" i="6"/>
  <c r="X50" i="6"/>
  <c r="W50" i="6"/>
  <c r="V50" i="6"/>
  <c r="X49" i="6"/>
  <c r="W49" i="6"/>
  <c r="V49" i="6"/>
  <c r="X48" i="6"/>
  <c r="W48" i="6"/>
  <c r="V48" i="6"/>
  <c r="X47" i="6"/>
  <c r="W47" i="6"/>
  <c r="V47" i="6"/>
  <c r="X46" i="6"/>
  <c r="W46" i="6"/>
  <c r="V46" i="6"/>
  <c r="X45" i="6"/>
  <c r="W45" i="6"/>
  <c r="V45" i="6"/>
  <c r="X44" i="6"/>
  <c r="W44" i="6"/>
  <c r="V44" i="6"/>
  <c r="X43" i="6"/>
  <c r="W43" i="6"/>
  <c r="V43" i="6"/>
  <c r="X42" i="6"/>
  <c r="W42" i="6"/>
  <c r="V42" i="6"/>
  <c r="X41" i="6"/>
  <c r="W41" i="6"/>
  <c r="V41" i="6"/>
  <c r="X40" i="6"/>
  <c r="W40" i="6"/>
  <c r="V40" i="6"/>
  <c r="X39" i="6"/>
  <c r="W39" i="6"/>
  <c r="V39" i="6"/>
  <c r="X38" i="6"/>
  <c r="W38" i="6"/>
  <c r="V38" i="6"/>
  <c r="X37" i="6"/>
  <c r="W37" i="6"/>
  <c r="V37" i="6"/>
  <c r="X36" i="6"/>
  <c r="W36" i="6"/>
  <c r="V36" i="6"/>
  <c r="X35" i="6"/>
  <c r="W35" i="6"/>
  <c r="V35" i="6"/>
  <c r="X34" i="6"/>
  <c r="W34" i="6"/>
  <c r="V34" i="6"/>
  <c r="X33" i="6"/>
  <c r="W33" i="6"/>
  <c r="V33" i="6"/>
  <c r="X32" i="6"/>
  <c r="W32" i="6"/>
  <c r="V32" i="6"/>
  <c r="X31" i="6"/>
  <c r="W31" i="6"/>
  <c r="V31" i="6"/>
  <c r="X30" i="6"/>
  <c r="W30" i="6"/>
  <c r="V30" i="6"/>
  <c r="X29" i="6"/>
  <c r="W29" i="6"/>
  <c r="W116" i="6" s="1"/>
  <c r="V29" i="6"/>
  <c r="X28" i="6"/>
  <c r="W28" i="6"/>
  <c r="V28" i="6"/>
  <c r="AA27" i="6"/>
  <c r="X27" i="6"/>
  <c r="W27" i="6"/>
  <c r="V27" i="6"/>
  <c r="AA26" i="6"/>
  <c r="X26" i="6"/>
  <c r="W26" i="6"/>
  <c r="V26" i="6"/>
  <c r="AA25" i="6"/>
  <c r="X25" i="6"/>
  <c r="W25" i="6"/>
  <c r="V25" i="6"/>
  <c r="AA24" i="6"/>
  <c r="X24" i="6"/>
  <c r="W24" i="6"/>
  <c r="V24" i="6"/>
  <c r="AA23" i="6"/>
  <c r="X23" i="6"/>
  <c r="W23" i="6"/>
  <c r="V23" i="6"/>
  <c r="AA22" i="6"/>
  <c r="X22" i="6"/>
  <c r="W22" i="6"/>
  <c r="V22" i="6"/>
  <c r="AA21" i="6"/>
  <c r="X21" i="6"/>
  <c r="W21" i="6"/>
  <c r="V21" i="6"/>
  <c r="AA20" i="6"/>
  <c r="X20" i="6"/>
  <c r="W20" i="6"/>
  <c r="V20" i="6"/>
  <c r="AA19" i="6"/>
  <c r="X19" i="6"/>
  <c r="W19" i="6"/>
  <c r="V19" i="6"/>
  <c r="AA18" i="6"/>
  <c r="X18" i="6"/>
  <c r="W18" i="6"/>
  <c r="V18" i="6"/>
  <c r="AA17" i="6"/>
  <c r="X17" i="6"/>
  <c r="W17" i="6"/>
  <c r="V17" i="6"/>
  <c r="AA16" i="6"/>
  <c r="X16" i="6"/>
  <c r="W16" i="6"/>
  <c r="V16" i="6"/>
  <c r="AA15" i="6"/>
  <c r="X15" i="6"/>
  <c r="W15" i="6"/>
  <c r="V15" i="6"/>
  <c r="AA14" i="6"/>
  <c r="X14" i="6"/>
  <c r="W14" i="6"/>
  <c r="V14" i="6"/>
  <c r="AA13" i="6"/>
  <c r="X13" i="6"/>
  <c r="W13" i="6"/>
  <c r="V13" i="6"/>
  <c r="AA12" i="6"/>
  <c r="X12" i="6"/>
  <c r="W12" i="6"/>
  <c r="V12" i="6"/>
  <c r="AA11" i="6"/>
  <c r="X11" i="6"/>
  <c r="W11" i="6"/>
  <c r="V11" i="6"/>
  <c r="AA10" i="6"/>
  <c r="X10" i="6"/>
  <c r="W10" i="6"/>
  <c r="V10" i="6"/>
  <c r="AA9" i="6"/>
  <c r="X9" i="6"/>
  <c r="W9" i="6"/>
  <c r="V9" i="6"/>
  <c r="AA8" i="6"/>
  <c r="X8" i="6"/>
  <c r="W8" i="6"/>
  <c r="V8" i="6"/>
  <c r="AA7" i="6"/>
  <c r="X7" i="6"/>
  <c r="W7" i="6"/>
  <c r="V7" i="6"/>
  <c r="AA6" i="6"/>
  <c r="X6" i="6"/>
  <c r="W6" i="6"/>
  <c r="V6" i="6"/>
  <c r="V116" i="6" s="1"/>
  <c r="AA5" i="6"/>
  <c r="X5" i="6"/>
  <c r="X116" i="6" s="1"/>
  <c r="W5" i="6"/>
  <c r="V5" i="6"/>
  <c r="F179" i="5"/>
  <c r="H177" i="5"/>
  <c r="H176" i="5"/>
  <c r="H169" i="5"/>
  <c r="A169" i="5"/>
  <c r="H168" i="5"/>
  <c r="A168" i="5"/>
  <c r="H167" i="5"/>
  <c r="A167" i="5"/>
  <c r="H166" i="5"/>
  <c r="A166" i="5"/>
  <c r="H165" i="5"/>
  <c r="A165" i="5"/>
  <c r="H164" i="5"/>
  <c r="A164" i="5"/>
  <c r="H163" i="5"/>
  <c r="A163" i="5"/>
  <c r="H162" i="5"/>
  <c r="A162" i="5"/>
  <c r="H161" i="5"/>
  <c r="A161" i="5"/>
  <c r="H160" i="5"/>
  <c r="A160" i="5"/>
  <c r="H159" i="5"/>
  <c r="A159" i="5"/>
  <c r="H158" i="5"/>
  <c r="A158" i="5"/>
  <c r="H157" i="5"/>
  <c r="A157" i="5"/>
  <c r="H156" i="5"/>
  <c r="A156" i="5"/>
  <c r="H155" i="5"/>
  <c r="A155" i="5"/>
  <c r="H154" i="5"/>
  <c r="A154" i="5"/>
  <c r="H153" i="5"/>
  <c r="A153" i="5"/>
  <c r="H152" i="5"/>
  <c r="A152" i="5"/>
  <c r="H151" i="5"/>
  <c r="A151" i="5"/>
  <c r="H150" i="5"/>
  <c r="A150" i="5"/>
  <c r="H149" i="5"/>
  <c r="A149" i="5"/>
  <c r="H148" i="5"/>
  <c r="A148" i="5"/>
  <c r="H147" i="5"/>
  <c r="A147" i="5"/>
  <c r="H141" i="5"/>
  <c r="H140" i="5"/>
  <c r="H139" i="5"/>
  <c r="H138" i="5"/>
  <c r="H137" i="5"/>
  <c r="H128" i="5"/>
  <c r="H127" i="5"/>
  <c r="I121" i="5"/>
  <c r="H121" i="5"/>
  <c r="G121" i="5"/>
  <c r="F121" i="5"/>
  <c r="F122" i="5" s="1"/>
  <c r="E121" i="5"/>
  <c r="E122" i="5" s="1"/>
  <c r="D121" i="5"/>
  <c r="C121" i="5"/>
  <c r="C122" i="5" s="1"/>
  <c r="I120" i="5"/>
  <c r="I122" i="5" s="1"/>
  <c r="H120" i="5"/>
  <c r="H122" i="5" s="1"/>
  <c r="G120" i="5"/>
  <c r="G122" i="5" s="1"/>
  <c r="F120" i="5"/>
  <c r="E120" i="5"/>
  <c r="D120" i="5"/>
  <c r="C120" i="5"/>
  <c r="AB116" i="5"/>
  <c r="H170" i="5" s="1"/>
  <c r="Y116" i="5"/>
  <c r="U116" i="5"/>
  <c r="H144" i="5" s="1"/>
  <c r="T116" i="5"/>
  <c r="H143" i="5" s="1"/>
  <c r="S116" i="5"/>
  <c r="H142" i="5" s="1"/>
  <c r="R116" i="5"/>
  <c r="Q116" i="5"/>
  <c r="P116" i="5"/>
  <c r="O116" i="5"/>
  <c r="N116" i="5"/>
  <c r="M116" i="5"/>
  <c r="H136" i="5" s="1"/>
  <c r="L116" i="5"/>
  <c r="H135" i="5" s="1"/>
  <c r="K116" i="5"/>
  <c r="H134" i="5" s="1"/>
  <c r="J116" i="5"/>
  <c r="H129" i="5" s="1"/>
  <c r="I116" i="5"/>
  <c r="H116" i="5"/>
  <c r="G116" i="5"/>
  <c r="B8" i="1" s="1"/>
  <c r="X115" i="5"/>
  <c r="W115" i="5"/>
  <c r="V115" i="5"/>
  <c r="X114" i="5"/>
  <c r="W114" i="5"/>
  <c r="V114" i="5"/>
  <c r="X113" i="5"/>
  <c r="W113" i="5"/>
  <c r="V113" i="5"/>
  <c r="X112" i="5"/>
  <c r="W112" i="5"/>
  <c r="V112" i="5"/>
  <c r="X111" i="5"/>
  <c r="W111" i="5"/>
  <c r="V111" i="5"/>
  <c r="X110" i="5"/>
  <c r="W110" i="5"/>
  <c r="V110" i="5"/>
  <c r="X109" i="5"/>
  <c r="W109" i="5"/>
  <c r="V109" i="5"/>
  <c r="X108" i="5"/>
  <c r="W108" i="5"/>
  <c r="V108" i="5"/>
  <c r="X107" i="5"/>
  <c r="W107" i="5"/>
  <c r="V107" i="5"/>
  <c r="X106" i="5"/>
  <c r="W106" i="5"/>
  <c r="V106" i="5"/>
  <c r="X105" i="5"/>
  <c r="W105" i="5"/>
  <c r="V105" i="5"/>
  <c r="X104" i="5"/>
  <c r="W104" i="5"/>
  <c r="V104" i="5"/>
  <c r="X103" i="5"/>
  <c r="W103" i="5"/>
  <c r="V103" i="5"/>
  <c r="X102" i="5"/>
  <c r="W102" i="5"/>
  <c r="V102" i="5"/>
  <c r="X101" i="5"/>
  <c r="W101" i="5"/>
  <c r="V101" i="5"/>
  <c r="X100" i="5"/>
  <c r="W100" i="5"/>
  <c r="V100" i="5"/>
  <c r="X99" i="5"/>
  <c r="W99" i="5"/>
  <c r="V99" i="5"/>
  <c r="X98" i="5"/>
  <c r="W98" i="5"/>
  <c r="V98" i="5"/>
  <c r="X97" i="5"/>
  <c r="W97" i="5"/>
  <c r="V97" i="5"/>
  <c r="X96" i="5"/>
  <c r="W96" i="5"/>
  <c r="V96" i="5"/>
  <c r="X95" i="5"/>
  <c r="W95" i="5"/>
  <c r="V95" i="5"/>
  <c r="X94" i="5"/>
  <c r="W94" i="5"/>
  <c r="V94" i="5"/>
  <c r="X93" i="5"/>
  <c r="W93" i="5"/>
  <c r="V93" i="5"/>
  <c r="X92" i="5"/>
  <c r="W92" i="5"/>
  <c r="V92" i="5"/>
  <c r="X91" i="5"/>
  <c r="W91" i="5"/>
  <c r="V91" i="5"/>
  <c r="X90" i="5"/>
  <c r="W90" i="5"/>
  <c r="V90" i="5"/>
  <c r="X89" i="5"/>
  <c r="W89" i="5"/>
  <c r="V89" i="5"/>
  <c r="X88" i="5"/>
  <c r="W88" i="5"/>
  <c r="V88" i="5"/>
  <c r="X87" i="5"/>
  <c r="W87" i="5"/>
  <c r="V87" i="5"/>
  <c r="X86" i="5"/>
  <c r="W86" i="5"/>
  <c r="V86" i="5"/>
  <c r="X85" i="5"/>
  <c r="W85" i="5"/>
  <c r="V85" i="5"/>
  <c r="X84" i="5"/>
  <c r="W84" i="5"/>
  <c r="V84" i="5"/>
  <c r="X83" i="5"/>
  <c r="W83" i="5"/>
  <c r="V83" i="5"/>
  <c r="X82" i="5"/>
  <c r="W82" i="5"/>
  <c r="V82" i="5"/>
  <c r="X81" i="5"/>
  <c r="W81" i="5"/>
  <c r="V81" i="5"/>
  <c r="X80" i="5"/>
  <c r="W80" i="5"/>
  <c r="V80" i="5"/>
  <c r="X79" i="5"/>
  <c r="W79" i="5"/>
  <c r="V79" i="5"/>
  <c r="X78" i="5"/>
  <c r="W78" i="5"/>
  <c r="V78" i="5"/>
  <c r="X77" i="5"/>
  <c r="W77" i="5"/>
  <c r="V77" i="5"/>
  <c r="X76" i="5"/>
  <c r="W76" i="5"/>
  <c r="V76" i="5"/>
  <c r="X75" i="5"/>
  <c r="W75" i="5"/>
  <c r="V75" i="5"/>
  <c r="X74" i="5"/>
  <c r="W74" i="5"/>
  <c r="V74" i="5"/>
  <c r="X73" i="5"/>
  <c r="W73" i="5"/>
  <c r="V73" i="5"/>
  <c r="X72" i="5"/>
  <c r="W72" i="5"/>
  <c r="V72" i="5"/>
  <c r="X71" i="5"/>
  <c r="W71" i="5"/>
  <c r="V71" i="5"/>
  <c r="X70" i="5"/>
  <c r="W70" i="5"/>
  <c r="V70" i="5"/>
  <c r="X69" i="5"/>
  <c r="W69" i="5"/>
  <c r="V69" i="5"/>
  <c r="X68" i="5"/>
  <c r="W68" i="5"/>
  <c r="V68" i="5"/>
  <c r="X67" i="5"/>
  <c r="W67" i="5"/>
  <c r="V67" i="5"/>
  <c r="X66" i="5"/>
  <c r="W66" i="5"/>
  <c r="V66" i="5"/>
  <c r="X65" i="5"/>
  <c r="W65" i="5"/>
  <c r="V65" i="5"/>
  <c r="X64" i="5"/>
  <c r="W64" i="5"/>
  <c r="V64" i="5"/>
  <c r="X63" i="5"/>
  <c r="W63" i="5"/>
  <c r="V63" i="5"/>
  <c r="X62" i="5"/>
  <c r="W62" i="5"/>
  <c r="V62" i="5"/>
  <c r="X61" i="5"/>
  <c r="W61" i="5"/>
  <c r="V61" i="5"/>
  <c r="X60" i="5"/>
  <c r="W60" i="5"/>
  <c r="V60" i="5"/>
  <c r="X59" i="5"/>
  <c r="W59" i="5"/>
  <c r="V59" i="5"/>
  <c r="X58" i="5"/>
  <c r="W58" i="5"/>
  <c r="V58" i="5"/>
  <c r="X57" i="5"/>
  <c r="W57" i="5"/>
  <c r="V57" i="5"/>
  <c r="X56" i="5"/>
  <c r="W56" i="5"/>
  <c r="V56" i="5"/>
  <c r="X55" i="5"/>
  <c r="W55" i="5"/>
  <c r="V55" i="5"/>
  <c r="X54" i="5"/>
  <c r="W54" i="5"/>
  <c r="V54" i="5"/>
  <c r="X53" i="5"/>
  <c r="W53" i="5"/>
  <c r="V53" i="5"/>
  <c r="X52" i="5"/>
  <c r="W52" i="5"/>
  <c r="V52" i="5"/>
  <c r="X51" i="5"/>
  <c r="W51" i="5"/>
  <c r="V51" i="5"/>
  <c r="X50" i="5"/>
  <c r="W50" i="5"/>
  <c r="V50" i="5"/>
  <c r="X49" i="5"/>
  <c r="W49" i="5"/>
  <c r="V49" i="5"/>
  <c r="X48" i="5"/>
  <c r="W48" i="5"/>
  <c r="V48" i="5"/>
  <c r="X47" i="5"/>
  <c r="W47" i="5"/>
  <c r="V47" i="5"/>
  <c r="X46" i="5"/>
  <c r="W46" i="5"/>
  <c r="V46" i="5"/>
  <c r="X45" i="5"/>
  <c r="W45" i="5"/>
  <c r="V45" i="5"/>
  <c r="X44" i="5"/>
  <c r="W44" i="5"/>
  <c r="V44" i="5"/>
  <c r="X43" i="5"/>
  <c r="W43" i="5"/>
  <c r="V43" i="5"/>
  <c r="X42" i="5"/>
  <c r="W42" i="5"/>
  <c r="V42" i="5"/>
  <c r="X41" i="5"/>
  <c r="W41" i="5"/>
  <c r="V41" i="5"/>
  <c r="X40" i="5"/>
  <c r="W40" i="5"/>
  <c r="V40" i="5"/>
  <c r="X39" i="5"/>
  <c r="W39" i="5"/>
  <c r="V39" i="5"/>
  <c r="X38" i="5"/>
  <c r="W38" i="5"/>
  <c r="V38" i="5"/>
  <c r="X37" i="5"/>
  <c r="W37" i="5"/>
  <c r="V37" i="5"/>
  <c r="X36" i="5"/>
  <c r="W36" i="5"/>
  <c r="V36" i="5"/>
  <c r="X35" i="5"/>
  <c r="W35" i="5"/>
  <c r="V35" i="5"/>
  <c r="X34" i="5"/>
  <c r="W34" i="5"/>
  <c r="V34" i="5"/>
  <c r="X33" i="5"/>
  <c r="W33" i="5"/>
  <c r="V33" i="5"/>
  <c r="X32" i="5"/>
  <c r="W32" i="5"/>
  <c r="V32" i="5"/>
  <c r="X31" i="5"/>
  <c r="W31" i="5"/>
  <c r="V31" i="5"/>
  <c r="X30" i="5"/>
  <c r="W30" i="5"/>
  <c r="V30" i="5"/>
  <c r="X29" i="5"/>
  <c r="X116" i="5" s="1"/>
  <c r="W29" i="5"/>
  <c r="W116" i="5" s="1"/>
  <c r="V29" i="5"/>
  <c r="V116" i="5" s="1"/>
  <c r="X28" i="5"/>
  <c r="W28" i="5"/>
  <c r="V28" i="5"/>
  <c r="AA27" i="5"/>
  <c r="X27" i="5"/>
  <c r="W27" i="5"/>
  <c r="V27" i="5"/>
  <c r="AA26" i="5"/>
  <c r="X26" i="5"/>
  <c r="W26" i="5"/>
  <c r="V26" i="5"/>
  <c r="AA25" i="5"/>
  <c r="X25" i="5"/>
  <c r="W25" i="5"/>
  <c r="V25" i="5"/>
  <c r="AA24" i="5"/>
  <c r="X24" i="5"/>
  <c r="W24" i="5"/>
  <c r="V24" i="5"/>
  <c r="AA23" i="5"/>
  <c r="X23" i="5"/>
  <c r="W23" i="5"/>
  <c r="V23" i="5"/>
  <c r="AA22" i="5"/>
  <c r="X22" i="5"/>
  <c r="W22" i="5"/>
  <c r="V22" i="5"/>
  <c r="AA21" i="5"/>
  <c r="X21" i="5"/>
  <c r="W21" i="5"/>
  <c r="V21" i="5"/>
  <c r="AA20" i="5"/>
  <c r="X20" i="5"/>
  <c r="W20" i="5"/>
  <c r="V20" i="5"/>
  <c r="AA19" i="5"/>
  <c r="X19" i="5"/>
  <c r="W19" i="5"/>
  <c r="V19" i="5"/>
  <c r="AA18" i="5"/>
  <c r="X18" i="5"/>
  <c r="W18" i="5"/>
  <c r="V18" i="5"/>
  <c r="AA17" i="5"/>
  <c r="X17" i="5"/>
  <c r="W17" i="5"/>
  <c r="V17" i="5"/>
  <c r="AA16" i="5"/>
  <c r="X16" i="5"/>
  <c r="W16" i="5"/>
  <c r="V16" i="5"/>
  <c r="AA15" i="5"/>
  <c r="X15" i="5"/>
  <c r="W15" i="5"/>
  <c r="V15" i="5"/>
  <c r="AA14" i="5"/>
  <c r="X14" i="5"/>
  <c r="W14" i="5"/>
  <c r="V14" i="5"/>
  <c r="AA13" i="5"/>
  <c r="X13" i="5"/>
  <c r="W13" i="5"/>
  <c r="V13" i="5"/>
  <c r="AA12" i="5"/>
  <c r="X12" i="5"/>
  <c r="W12" i="5"/>
  <c r="V12" i="5"/>
  <c r="AA11" i="5"/>
  <c r="X11" i="5"/>
  <c r="W11" i="5"/>
  <c r="V11" i="5"/>
  <c r="AA10" i="5"/>
  <c r="X10" i="5"/>
  <c r="W10" i="5"/>
  <c r="V10" i="5"/>
  <c r="AA9" i="5"/>
  <c r="X9" i="5"/>
  <c r="W9" i="5"/>
  <c r="V9" i="5"/>
  <c r="AA8" i="5"/>
  <c r="X8" i="5"/>
  <c r="W8" i="5"/>
  <c r="V8" i="5"/>
  <c r="AA7" i="5"/>
  <c r="X7" i="5"/>
  <c r="W7" i="5"/>
  <c r="V7" i="5"/>
  <c r="AA6" i="5"/>
  <c r="X6" i="5"/>
  <c r="W6" i="5"/>
  <c r="V6" i="5"/>
  <c r="AA5" i="5"/>
  <c r="X5" i="5"/>
  <c r="W5" i="5"/>
  <c r="V5" i="5"/>
  <c r="F179" i="4"/>
  <c r="H177" i="4"/>
  <c r="H176" i="4"/>
  <c r="H169" i="4"/>
  <c r="A169" i="4"/>
  <c r="H168" i="4"/>
  <c r="A168" i="4"/>
  <c r="H167" i="4"/>
  <c r="A167" i="4"/>
  <c r="H166" i="4"/>
  <c r="A166" i="4"/>
  <c r="H165" i="4"/>
  <c r="A165" i="4"/>
  <c r="H164" i="4"/>
  <c r="A164" i="4"/>
  <c r="H163" i="4"/>
  <c r="A163" i="4"/>
  <c r="H162" i="4"/>
  <c r="A162" i="4"/>
  <c r="H161" i="4"/>
  <c r="A161" i="4"/>
  <c r="H160" i="4"/>
  <c r="A160" i="4"/>
  <c r="H159" i="4"/>
  <c r="A159" i="4"/>
  <c r="H158" i="4"/>
  <c r="A158" i="4"/>
  <c r="H157" i="4"/>
  <c r="A157" i="4"/>
  <c r="H156" i="4"/>
  <c r="A156" i="4"/>
  <c r="H155" i="4"/>
  <c r="A155" i="4"/>
  <c r="H154" i="4"/>
  <c r="A154" i="4"/>
  <c r="H153" i="4"/>
  <c r="A153" i="4"/>
  <c r="H152" i="4"/>
  <c r="A152" i="4"/>
  <c r="H151" i="4"/>
  <c r="A151" i="4"/>
  <c r="H150" i="4"/>
  <c r="A150" i="4"/>
  <c r="H149" i="4"/>
  <c r="A149" i="4"/>
  <c r="H148" i="4"/>
  <c r="A148" i="4"/>
  <c r="H147" i="4"/>
  <c r="A147" i="4"/>
  <c r="H139" i="4"/>
  <c r="H138" i="4"/>
  <c r="H137" i="4"/>
  <c r="H136" i="4"/>
  <c r="H135" i="4"/>
  <c r="H134" i="4"/>
  <c r="F122" i="4"/>
  <c r="E122" i="4"/>
  <c r="C122" i="4"/>
  <c r="I121" i="4"/>
  <c r="H121" i="4"/>
  <c r="G121" i="4"/>
  <c r="F121" i="4"/>
  <c r="E121" i="4"/>
  <c r="D121" i="4"/>
  <c r="C121" i="4"/>
  <c r="I120" i="4"/>
  <c r="I122" i="4" s="1"/>
  <c r="H120" i="4"/>
  <c r="H122" i="4" s="1"/>
  <c r="G120" i="4"/>
  <c r="G122" i="4" s="1"/>
  <c r="F120" i="4"/>
  <c r="E120" i="4"/>
  <c r="D120" i="4"/>
  <c r="D122" i="4" s="1"/>
  <c r="C120" i="4"/>
  <c r="AB116" i="4"/>
  <c r="H170" i="4" s="1"/>
  <c r="Y116" i="4"/>
  <c r="U116" i="4"/>
  <c r="H144" i="4" s="1"/>
  <c r="T116" i="4"/>
  <c r="H143" i="4" s="1"/>
  <c r="S116" i="4"/>
  <c r="H142" i="4" s="1"/>
  <c r="R116" i="4"/>
  <c r="H141" i="4" s="1"/>
  <c r="Q116" i="4"/>
  <c r="H140" i="4" s="1"/>
  <c r="P116" i="4"/>
  <c r="O116" i="4"/>
  <c r="N116" i="4"/>
  <c r="M116" i="4"/>
  <c r="L116" i="4"/>
  <c r="K116" i="4"/>
  <c r="J116" i="4"/>
  <c r="H129" i="4" s="1"/>
  <c r="I116" i="4"/>
  <c r="H116" i="4"/>
  <c r="G116" i="4"/>
  <c r="H127" i="4" s="1"/>
  <c r="X115" i="4"/>
  <c r="W115" i="4"/>
  <c r="V115" i="4"/>
  <c r="X114" i="4"/>
  <c r="W114" i="4"/>
  <c r="V114" i="4"/>
  <c r="X113" i="4"/>
  <c r="W113" i="4"/>
  <c r="V113" i="4"/>
  <c r="X112" i="4"/>
  <c r="W112" i="4"/>
  <c r="V112" i="4"/>
  <c r="X111" i="4"/>
  <c r="W111" i="4"/>
  <c r="V111" i="4"/>
  <c r="X110" i="4"/>
  <c r="W110" i="4"/>
  <c r="V110" i="4"/>
  <c r="X109" i="4"/>
  <c r="W109" i="4"/>
  <c r="V109" i="4"/>
  <c r="X108" i="4"/>
  <c r="W108" i="4"/>
  <c r="V108" i="4"/>
  <c r="X107" i="4"/>
  <c r="W107" i="4"/>
  <c r="V107" i="4"/>
  <c r="X106" i="4"/>
  <c r="W106" i="4"/>
  <c r="V106" i="4"/>
  <c r="X105" i="4"/>
  <c r="W105" i="4"/>
  <c r="V105" i="4"/>
  <c r="X104" i="4"/>
  <c r="W104" i="4"/>
  <c r="V104" i="4"/>
  <c r="X103" i="4"/>
  <c r="W103" i="4"/>
  <c r="V103" i="4"/>
  <c r="X102" i="4"/>
  <c r="W102" i="4"/>
  <c r="V102" i="4"/>
  <c r="X101" i="4"/>
  <c r="W101" i="4"/>
  <c r="V101" i="4"/>
  <c r="X100" i="4"/>
  <c r="W100" i="4"/>
  <c r="V100" i="4"/>
  <c r="X99" i="4"/>
  <c r="W99" i="4"/>
  <c r="V99" i="4"/>
  <c r="X98" i="4"/>
  <c r="W98" i="4"/>
  <c r="V98" i="4"/>
  <c r="X97" i="4"/>
  <c r="W97" i="4"/>
  <c r="V97" i="4"/>
  <c r="X96" i="4"/>
  <c r="W96" i="4"/>
  <c r="V96" i="4"/>
  <c r="X95" i="4"/>
  <c r="W95" i="4"/>
  <c r="V95" i="4"/>
  <c r="X94" i="4"/>
  <c r="W94" i="4"/>
  <c r="V94" i="4"/>
  <c r="X93" i="4"/>
  <c r="W93" i="4"/>
  <c r="V93" i="4"/>
  <c r="X92" i="4"/>
  <c r="W92" i="4"/>
  <c r="V92" i="4"/>
  <c r="X91" i="4"/>
  <c r="W91" i="4"/>
  <c r="V91" i="4"/>
  <c r="X90" i="4"/>
  <c r="W90" i="4"/>
  <c r="V90" i="4"/>
  <c r="X89" i="4"/>
  <c r="W89" i="4"/>
  <c r="V89" i="4"/>
  <c r="X88" i="4"/>
  <c r="W88" i="4"/>
  <c r="V88" i="4"/>
  <c r="X87" i="4"/>
  <c r="W87" i="4"/>
  <c r="V87" i="4"/>
  <c r="X86" i="4"/>
  <c r="W86" i="4"/>
  <c r="V86" i="4"/>
  <c r="X85" i="4"/>
  <c r="W85" i="4"/>
  <c r="V85" i="4"/>
  <c r="X84" i="4"/>
  <c r="W84" i="4"/>
  <c r="V84" i="4"/>
  <c r="X83" i="4"/>
  <c r="W83" i="4"/>
  <c r="V83" i="4"/>
  <c r="X82" i="4"/>
  <c r="W82" i="4"/>
  <c r="V82" i="4"/>
  <c r="X81" i="4"/>
  <c r="W81" i="4"/>
  <c r="V81" i="4"/>
  <c r="X80" i="4"/>
  <c r="W80" i="4"/>
  <c r="V80" i="4"/>
  <c r="X79" i="4"/>
  <c r="W79" i="4"/>
  <c r="V79" i="4"/>
  <c r="X78" i="4"/>
  <c r="W78" i="4"/>
  <c r="V78" i="4"/>
  <c r="X77" i="4"/>
  <c r="W77" i="4"/>
  <c r="V77" i="4"/>
  <c r="X76" i="4"/>
  <c r="W76" i="4"/>
  <c r="V76" i="4"/>
  <c r="X75" i="4"/>
  <c r="W75" i="4"/>
  <c r="V75" i="4"/>
  <c r="X74" i="4"/>
  <c r="W74" i="4"/>
  <c r="V74" i="4"/>
  <c r="X73" i="4"/>
  <c r="W73" i="4"/>
  <c r="V73" i="4"/>
  <c r="X72" i="4"/>
  <c r="W72" i="4"/>
  <c r="V72" i="4"/>
  <c r="X71" i="4"/>
  <c r="W71" i="4"/>
  <c r="V71" i="4"/>
  <c r="X70" i="4"/>
  <c r="W70" i="4"/>
  <c r="V70" i="4"/>
  <c r="X69" i="4"/>
  <c r="W69" i="4"/>
  <c r="V69" i="4"/>
  <c r="X68" i="4"/>
  <c r="W68" i="4"/>
  <c r="V68" i="4"/>
  <c r="X67" i="4"/>
  <c r="W67" i="4"/>
  <c r="V67" i="4"/>
  <c r="X66" i="4"/>
  <c r="W66" i="4"/>
  <c r="V66" i="4"/>
  <c r="X65" i="4"/>
  <c r="W65" i="4"/>
  <c r="V65" i="4"/>
  <c r="X64" i="4"/>
  <c r="W64" i="4"/>
  <c r="V64" i="4"/>
  <c r="X63" i="4"/>
  <c r="W63" i="4"/>
  <c r="V63" i="4"/>
  <c r="X62" i="4"/>
  <c r="W62" i="4"/>
  <c r="V62" i="4"/>
  <c r="X61" i="4"/>
  <c r="W61" i="4"/>
  <c r="V61" i="4"/>
  <c r="X60" i="4"/>
  <c r="W60" i="4"/>
  <c r="V60" i="4"/>
  <c r="X59" i="4"/>
  <c r="W59" i="4"/>
  <c r="V59" i="4"/>
  <c r="X58" i="4"/>
  <c r="W58" i="4"/>
  <c r="V58" i="4"/>
  <c r="X57" i="4"/>
  <c r="W57" i="4"/>
  <c r="V57" i="4"/>
  <c r="X56" i="4"/>
  <c r="W56" i="4"/>
  <c r="V56" i="4"/>
  <c r="X55" i="4"/>
  <c r="W55" i="4"/>
  <c r="V55" i="4"/>
  <c r="X54" i="4"/>
  <c r="W54" i="4"/>
  <c r="V54" i="4"/>
  <c r="X53" i="4"/>
  <c r="W53" i="4"/>
  <c r="V53" i="4"/>
  <c r="X52" i="4"/>
  <c r="W52" i="4"/>
  <c r="V52" i="4"/>
  <c r="X51" i="4"/>
  <c r="W51" i="4"/>
  <c r="V51" i="4"/>
  <c r="X50" i="4"/>
  <c r="W50" i="4"/>
  <c r="V50" i="4"/>
  <c r="X49" i="4"/>
  <c r="W49" i="4"/>
  <c r="V49" i="4"/>
  <c r="X48" i="4"/>
  <c r="W48" i="4"/>
  <c r="V48" i="4"/>
  <c r="X47" i="4"/>
  <c r="W47" i="4"/>
  <c r="V47" i="4"/>
  <c r="X46" i="4"/>
  <c r="W46" i="4"/>
  <c r="V46" i="4"/>
  <c r="X45" i="4"/>
  <c r="W45" i="4"/>
  <c r="V45" i="4"/>
  <c r="X44" i="4"/>
  <c r="W44" i="4"/>
  <c r="V44" i="4"/>
  <c r="X43" i="4"/>
  <c r="W43" i="4"/>
  <c r="V43" i="4"/>
  <c r="X42" i="4"/>
  <c r="W42" i="4"/>
  <c r="V42" i="4"/>
  <c r="X41" i="4"/>
  <c r="W41" i="4"/>
  <c r="V41" i="4"/>
  <c r="X40" i="4"/>
  <c r="W40" i="4"/>
  <c r="V40" i="4"/>
  <c r="X39" i="4"/>
  <c r="W39" i="4"/>
  <c r="V39" i="4"/>
  <c r="X38" i="4"/>
  <c r="W38" i="4"/>
  <c r="V38" i="4"/>
  <c r="X37" i="4"/>
  <c r="W37" i="4"/>
  <c r="V37" i="4"/>
  <c r="X36" i="4"/>
  <c r="W36" i="4"/>
  <c r="V36" i="4"/>
  <c r="X35" i="4"/>
  <c r="W35" i="4"/>
  <c r="V35" i="4"/>
  <c r="X34" i="4"/>
  <c r="W34" i="4"/>
  <c r="V34" i="4"/>
  <c r="X33" i="4"/>
  <c r="W33" i="4"/>
  <c r="V33" i="4"/>
  <c r="X32" i="4"/>
  <c r="W32" i="4"/>
  <c r="V32" i="4"/>
  <c r="X31" i="4"/>
  <c r="W31" i="4"/>
  <c r="V31" i="4"/>
  <c r="X30" i="4"/>
  <c r="W30" i="4"/>
  <c r="V30" i="4"/>
  <c r="X29" i="4"/>
  <c r="W29" i="4"/>
  <c r="V29" i="4"/>
  <c r="X28" i="4"/>
  <c r="W28" i="4"/>
  <c r="V28" i="4"/>
  <c r="AA27" i="4"/>
  <c r="X27" i="4"/>
  <c r="W27" i="4"/>
  <c r="V27" i="4"/>
  <c r="AA26" i="4"/>
  <c r="X26" i="4"/>
  <c r="W26" i="4"/>
  <c r="V26" i="4"/>
  <c r="AA25" i="4"/>
  <c r="X25" i="4"/>
  <c r="W25" i="4"/>
  <c r="V25" i="4"/>
  <c r="AA24" i="4"/>
  <c r="X24" i="4"/>
  <c r="W24" i="4"/>
  <c r="V24" i="4"/>
  <c r="AA23" i="4"/>
  <c r="X23" i="4"/>
  <c r="W23" i="4"/>
  <c r="V23" i="4"/>
  <c r="AA22" i="4"/>
  <c r="X22" i="4"/>
  <c r="W22" i="4"/>
  <c r="V22" i="4"/>
  <c r="AA21" i="4"/>
  <c r="X21" i="4"/>
  <c r="W21" i="4"/>
  <c r="V21" i="4"/>
  <c r="AA20" i="4"/>
  <c r="X20" i="4"/>
  <c r="W20" i="4"/>
  <c r="V20" i="4"/>
  <c r="AA19" i="4"/>
  <c r="X19" i="4"/>
  <c r="W19" i="4"/>
  <c r="V19" i="4"/>
  <c r="AA18" i="4"/>
  <c r="X18" i="4"/>
  <c r="W18" i="4"/>
  <c r="V18" i="4"/>
  <c r="AA17" i="4"/>
  <c r="X17" i="4"/>
  <c r="W17" i="4"/>
  <c r="V17" i="4"/>
  <c r="AA16" i="4"/>
  <c r="X16" i="4"/>
  <c r="W16" i="4"/>
  <c r="V16" i="4"/>
  <c r="AA15" i="4"/>
  <c r="X15" i="4"/>
  <c r="W15" i="4"/>
  <c r="V15" i="4"/>
  <c r="AA14" i="4"/>
  <c r="X14" i="4"/>
  <c r="W14" i="4"/>
  <c r="V14" i="4"/>
  <c r="AA13" i="4"/>
  <c r="X13" i="4"/>
  <c r="W13" i="4"/>
  <c r="V13" i="4"/>
  <c r="AA12" i="4"/>
  <c r="X12" i="4"/>
  <c r="W12" i="4"/>
  <c r="V12" i="4"/>
  <c r="AA11" i="4"/>
  <c r="X11" i="4"/>
  <c r="W11" i="4"/>
  <c r="V11" i="4"/>
  <c r="AA10" i="4"/>
  <c r="X10" i="4"/>
  <c r="W10" i="4"/>
  <c r="V10" i="4"/>
  <c r="AA9" i="4"/>
  <c r="X9" i="4"/>
  <c r="W9" i="4"/>
  <c r="V9" i="4"/>
  <c r="AA8" i="4"/>
  <c r="X8" i="4"/>
  <c r="W8" i="4"/>
  <c r="V8" i="4"/>
  <c r="AA7" i="4"/>
  <c r="X7" i="4"/>
  <c r="W7" i="4"/>
  <c r="V7" i="4"/>
  <c r="V116" i="4" s="1"/>
  <c r="AA6" i="4"/>
  <c r="X6" i="4"/>
  <c r="X116" i="4" s="1"/>
  <c r="W6" i="4"/>
  <c r="V6" i="4"/>
  <c r="AA5" i="4"/>
  <c r="X5" i="4"/>
  <c r="W5" i="4"/>
  <c r="V5" i="4"/>
  <c r="F179" i="3"/>
  <c r="H170" i="3"/>
  <c r="H169" i="3"/>
  <c r="A169" i="3"/>
  <c r="H168" i="3"/>
  <c r="A168" i="3"/>
  <c r="H167" i="3"/>
  <c r="A167" i="3"/>
  <c r="H166" i="3"/>
  <c r="A166" i="3"/>
  <c r="H165" i="3"/>
  <c r="A165" i="3"/>
  <c r="H164" i="3"/>
  <c r="A164" i="3"/>
  <c r="H163" i="3"/>
  <c r="A163" i="3"/>
  <c r="H162" i="3"/>
  <c r="A162" i="3"/>
  <c r="H161" i="3"/>
  <c r="A161" i="3"/>
  <c r="H160" i="3"/>
  <c r="A160" i="3"/>
  <c r="H159" i="3"/>
  <c r="A159" i="3"/>
  <c r="H158" i="3"/>
  <c r="A158" i="3"/>
  <c r="H157" i="3"/>
  <c r="A157" i="3"/>
  <c r="H156" i="3"/>
  <c r="A156" i="3"/>
  <c r="H155" i="3"/>
  <c r="A155" i="3"/>
  <c r="H154" i="3"/>
  <c r="A154" i="3"/>
  <c r="H153" i="3"/>
  <c r="A153" i="3"/>
  <c r="H152" i="3"/>
  <c r="A152" i="3"/>
  <c r="H151" i="3"/>
  <c r="A151" i="3"/>
  <c r="H150" i="3"/>
  <c r="A150" i="3"/>
  <c r="H149" i="3"/>
  <c r="A149" i="3"/>
  <c r="H148" i="3"/>
  <c r="A148" i="3"/>
  <c r="H147" i="3"/>
  <c r="A147" i="3"/>
  <c r="H144" i="3"/>
  <c r="H143" i="3"/>
  <c r="I121" i="3"/>
  <c r="F121" i="3"/>
  <c r="E121" i="3"/>
  <c r="D121" i="3"/>
  <c r="C121" i="3"/>
  <c r="I120" i="3"/>
  <c r="F120" i="3"/>
  <c r="E120" i="3"/>
  <c r="D120" i="3"/>
  <c r="C120" i="3"/>
  <c r="AB116" i="3"/>
  <c r="G6" i="1" s="1"/>
  <c r="Y116" i="3"/>
  <c r="U116" i="3"/>
  <c r="T116" i="3"/>
  <c r="S116" i="3"/>
  <c r="H142" i="3" s="1"/>
  <c r="R116" i="3"/>
  <c r="H141" i="3" s="1"/>
  <c r="Q116" i="3"/>
  <c r="H140" i="3" s="1"/>
  <c r="P116" i="3"/>
  <c r="H139" i="3" s="1"/>
  <c r="O116" i="3"/>
  <c r="H138" i="3" s="1"/>
  <c r="N116" i="3"/>
  <c r="H137" i="3" s="1"/>
  <c r="M116" i="3"/>
  <c r="H136" i="3" s="1"/>
  <c r="L116" i="3"/>
  <c r="H135" i="3" s="1"/>
  <c r="K116" i="3"/>
  <c r="H134" i="3" s="1"/>
  <c r="J116" i="3"/>
  <c r="H129" i="3" s="1"/>
  <c r="I116" i="3"/>
  <c r="H116" i="3"/>
  <c r="H128" i="3" s="1"/>
  <c r="G116" i="3"/>
  <c r="X115" i="3"/>
  <c r="W115" i="3"/>
  <c r="V115" i="3"/>
  <c r="X114" i="3"/>
  <c r="W114" i="3"/>
  <c r="V114" i="3"/>
  <c r="X113" i="3"/>
  <c r="W113" i="3"/>
  <c r="V113" i="3"/>
  <c r="X112" i="3"/>
  <c r="W112" i="3"/>
  <c r="V112" i="3"/>
  <c r="X111" i="3"/>
  <c r="W111" i="3"/>
  <c r="V111" i="3"/>
  <c r="X110" i="3"/>
  <c r="W110" i="3"/>
  <c r="V110" i="3"/>
  <c r="X109" i="3"/>
  <c r="W109" i="3"/>
  <c r="V109" i="3"/>
  <c r="X108" i="3"/>
  <c r="W108" i="3"/>
  <c r="V108" i="3"/>
  <c r="X107" i="3"/>
  <c r="W107" i="3"/>
  <c r="V107" i="3"/>
  <c r="X106" i="3"/>
  <c r="W106" i="3"/>
  <c r="V106" i="3"/>
  <c r="X105" i="3"/>
  <c r="W105" i="3"/>
  <c r="V105" i="3"/>
  <c r="X104" i="3"/>
  <c r="W104" i="3"/>
  <c r="V104" i="3"/>
  <c r="X103" i="3"/>
  <c r="W103" i="3"/>
  <c r="V103" i="3"/>
  <c r="X102" i="3"/>
  <c r="W102" i="3"/>
  <c r="V102" i="3"/>
  <c r="X101" i="3"/>
  <c r="W101" i="3"/>
  <c r="V101" i="3"/>
  <c r="X100" i="3"/>
  <c r="W100" i="3"/>
  <c r="V100" i="3"/>
  <c r="X99" i="3"/>
  <c r="W99" i="3"/>
  <c r="V99" i="3"/>
  <c r="X98" i="3"/>
  <c r="W98" i="3"/>
  <c r="V98" i="3"/>
  <c r="X97" i="3"/>
  <c r="W97" i="3"/>
  <c r="V97" i="3"/>
  <c r="X96" i="3"/>
  <c r="W96" i="3"/>
  <c r="V96" i="3"/>
  <c r="X95" i="3"/>
  <c r="W95" i="3"/>
  <c r="V95" i="3"/>
  <c r="X94" i="3"/>
  <c r="W94" i="3"/>
  <c r="V94" i="3"/>
  <c r="X93" i="3"/>
  <c r="W93" i="3"/>
  <c r="V93" i="3"/>
  <c r="X92" i="3"/>
  <c r="W92" i="3"/>
  <c r="V92" i="3"/>
  <c r="X91" i="3"/>
  <c r="W91" i="3"/>
  <c r="V91" i="3"/>
  <c r="X90" i="3"/>
  <c r="W90" i="3"/>
  <c r="V90" i="3"/>
  <c r="X89" i="3"/>
  <c r="W89" i="3"/>
  <c r="V89" i="3"/>
  <c r="X88" i="3"/>
  <c r="W88" i="3"/>
  <c r="V88" i="3"/>
  <c r="X87" i="3"/>
  <c r="W87" i="3"/>
  <c r="V87" i="3"/>
  <c r="X86" i="3"/>
  <c r="W86" i="3"/>
  <c r="V86" i="3"/>
  <c r="X85" i="3"/>
  <c r="W85" i="3"/>
  <c r="V85" i="3"/>
  <c r="X84" i="3"/>
  <c r="W84" i="3"/>
  <c r="V84" i="3"/>
  <c r="X83" i="3"/>
  <c r="W83" i="3"/>
  <c r="V83" i="3"/>
  <c r="X82" i="3"/>
  <c r="W82" i="3"/>
  <c r="V82" i="3"/>
  <c r="X81" i="3"/>
  <c r="W81" i="3"/>
  <c r="V81" i="3"/>
  <c r="X80" i="3"/>
  <c r="W80" i="3"/>
  <c r="V80" i="3"/>
  <c r="X79" i="3"/>
  <c r="W79" i="3"/>
  <c r="V79" i="3"/>
  <c r="X78" i="3"/>
  <c r="W78" i="3"/>
  <c r="V78" i="3"/>
  <c r="X77" i="3"/>
  <c r="W77" i="3"/>
  <c r="V77" i="3"/>
  <c r="X76" i="3"/>
  <c r="W76" i="3"/>
  <c r="V76" i="3"/>
  <c r="X75" i="3"/>
  <c r="W75" i="3"/>
  <c r="V75" i="3"/>
  <c r="X74" i="3"/>
  <c r="W74" i="3"/>
  <c r="V74" i="3"/>
  <c r="X73" i="3"/>
  <c r="W73" i="3"/>
  <c r="V73" i="3"/>
  <c r="X72" i="3"/>
  <c r="W72" i="3"/>
  <c r="V72" i="3"/>
  <c r="X71" i="3"/>
  <c r="W71" i="3"/>
  <c r="V71" i="3"/>
  <c r="X70" i="3"/>
  <c r="W70" i="3"/>
  <c r="V70" i="3"/>
  <c r="X69" i="3"/>
  <c r="W69" i="3"/>
  <c r="V69" i="3"/>
  <c r="X68" i="3"/>
  <c r="W68" i="3"/>
  <c r="V68" i="3"/>
  <c r="X67" i="3"/>
  <c r="W67" i="3"/>
  <c r="V67" i="3"/>
  <c r="X66" i="3"/>
  <c r="W66" i="3"/>
  <c r="V66" i="3"/>
  <c r="X65" i="3"/>
  <c r="W65" i="3"/>
  <c r="V65" i="3"/>
  <c r="X64" i="3"/>
  <c r="W64" i="3"/>
  <c r="V64" i="3"/>
  <c r="X63" i="3"/>
  <c r="W63" i="3"/>
  <c r="V63" i="3"/>
  <c r="X62" i="3"/>
  <c r="W62" i="3"/>
  <c r="V62" i="3"/>
  <c r="X61" i="3"/>
  <c r="W61" i="3"/>
  <c r="V61" i="3"/>
  <c r="X60" i="3"/>
  <c r="W60" i="3"/>
  <c r="V60" i="3"/>
  <c r="X59" i="3"/>
  <c r="W59" i="3"/>
  <c r="V59" i="3"/>
  <c r="X58" i="3"/>
  <c r="W58" i="3"/>
  <c r="V58" i="3"/>
  <c r="X57" i="3"/>
  <c r="W57" i="3"/>
  <c r="V57" i="3"/>
  <c r="X56" i="3"/>
  <c r="W56" i="3"/>
  <c r="V56" i="3"/>
  <c r="X55" i="3"/>
  <c r="W55" i="3"/>
  <c r="V55" i="3"/>
  <c r="X54" i="3"/>
  <c r="W54" i="3"/>
  <c r="V54" i="3"/>
  <c r="X53" i="3"/>
  <c r="W53" i="3"/>
  <c r="V53" i="3"/>
  <c r="X52" i="3"/>
  <c r="W52" i="3"/>
  <c r="V52" i="3"/>
  <c r="X51" i="3"/>
  <c r="W51" i="3"/>
  <c r="V51" i="3"/>
  <c r="X50" i="3"/>
  <c r="W50" i="3"/>
  <c r="V50" i="3"/>
  <c r="X49" i="3"/>
  <c r="W49" i="3"/>
  <c r="V49" i="3"/>
  <c r="X48" i="3"/>
  <c r="W48" i="3"/>
  <c r="V48" i="3"/>
  <c r="X47" i="3"/>
  <c r="W47" i="3"/>
  <c r="V47" i="3"/>
  <c r="X46" i="3"/>
  <c r="W46" i="3"/>
  <c r="V46" i="3"/>
  <c r="X45" i="3"/>
  <c r="W45" i="3"/>
  <c r="V45" i="3"/>
  <c r="X44" i="3"/>
  <c r="W44" i="3"/>
  <c r="V44" i="3"/>
  <c r="X43" i="3"/>
  <c r="W43" i="3"/>
  <c r="V43" i="3"/>
  <c r="X42" i="3"/>
  <c r="W42" i="3"/>
  <c r="V42" i="3"/>
  <c r="X41" i="3"/>
  <c r="W41" i="3"/>
  <c r="V41" i="3"/>
  <c r="X40" i="3"/>
  <c r="W40" i="3"/>
  <c r="V40" i="3"/>
  <c r="X39" i="3"/>
  <c r="W39" i="3"/>
  <c r="V39" i="3"/>
  <c r="X38" i="3"/>
  <c r="W38" i="3"/>
  <c r="V38" i="3"/>
  <c r="X37" i="3"/>
  <c r="W37" i="3"/>
  <c r="V37" i="3"/>
  <c r="X36" i="3"/>
  <c r="W36" i="3"/>
  <c r="V36" i="3"/>
  <c r="X35" i="3"/>
  <c r="W35" i="3"/>
  <c r="V35" i="3"/>
  <c r="X34" i="3"/>
  <c r="W34" i="3"/>
  <c r="V34" i="3"/>
  <c r="X33" i="3"/>
  <c r="W33" i="3"/>
  <c r="V33" i="3"/>
  <c r="X32" i="3"/>
  <c r="W32" i="3"/>
  <c r="V32" i="3"/>
  <c r="X31" i="3"/>
  <c r="W31" i="3"/>
  <c r="V31" i="3"/>
  <c r="X30" i="3"/>
  <c r="W30" i="3"/>
  <c r="V30" i="3"/>
  <c r="X29" i="3"/>
  <c r="W29" i="3"/>
  <c r="V29" i="3"/>
  <c r="X28" i="3"/>
  <c r="W28" i="3"/>
  <c r="V28" i="3"/>
  <c r="AA27" i="3"/>
  <c r="X27" i="3"/>
  <c r="W27" i="3"/>
  <c r="V27" i="3"/>
  <c r="AA26" i="3"/>
  <c r="X26" i="3"/>
  <c r="W26" i="3"/>
  <c r="V26" i="3"/>
  <c r="AA25" i="3"/>
  <c r="X25" i="3"/>
  <c r="W25" i="3"/>
  <c r="V25" i="3"/>
  <c r="AA24" i="3"/>
  <c r="X24" i="3"/>
  <c r="W24" i="3"/>
  <c r="V24" i="3"/>
  <c r="AA23" i="3"/>
  <c r="X23" i="3"/>
  <c r="W23" i="3"/>
  <c r="V23" i="3"/>
  <c r="AA22" i="3"/>
  <c r="X22" i="3"/>
  <c r="W22" i="3"/>
  <c r="V22" i="3"/>
  <c r="AA21" i="3"/>
  <c r="X21" i="3"/>
  <c r="W21" i="3"/>
  <c r="V21" i="3"/>
  <c r="AA20" i="3"/>
  <c r="X20" i="3"/>
  <c r="W20" i="3"/>
  <c r="V20" i="3"/>
  <c r="AA19" i="3"/>
  <c r="X19" i="3"/>
  <c r="W19" i="3"/>
  <c r="V19" i="3"/>
  <c r="AA18" i="3"/>
  <c r="X18" i="3"/>
  <c r="W18" i="3"/>
  <c r="V18" i="3"/>
  <c r="AA17" i="3"/>
  <c r="X17" i="3"/>
  <c r="W17" i="3"/>
  <c r="V17" i="3"/>
  <c r="AA16" i="3"/>
  <c r="X16" i="3"/>
  <c r="W16" i="3"/>
  <c r="V16" i="3"/>
  <c r="AA15" i="3"/>
  <c r="X15" i="3"/>
  <c r="W15" i="3"/>
  <c r="V15" i="3"/>
  <c r="AA14" i="3"/>
  <c r="X14" i="3"/>
  <c r="W14" i="3"/>
  <c r="V14" i="3"/>
  <c r="AA13" i="3"/>
  <c r="X13" i="3"/>
  <c r="W13" i="3"/>
  <c r="V13" i="3"/>
  <c r="AA12" i="3"/>
  <c r="X12" i="3"/>
  <c r="W12" i="3"/>
  <c r="V12" i="3"/>
  <c r="AA11" i="3"/>
  <c r="X11" i="3"/>
  <c r="W11" i="3"/>
  <c r="V11" i="3"/>
  <c r="AA10" i="3"/>
  <c r="X10" i="3"/>
  <c r="W10" i="3"/>
  <c r="V10" i="3"/>
  <c r="AA9" i="3"/>
  <c r="W9" i="3"/>
  <c r="V9" i="3"/>
  <c r="X9" i="3" s="1"/>
  <c r="AA8" i="3"/>
  <c r="W8" i="3"/>
  <c r="V8" i="3"/>
  <c r="X8" i="3" s="1"/>
  <c r="AA7" i="3"/>
  <c r="W7" i="3"/>
  <c r="G121" i="3" s="1"/>
  <c r="V7" i="3"/>
  <c r="X7" i="3" s="1"/>
  <c r="AA6" i="3"/>
  <c r="W6" i="3"/>
  <c r="V6" i="3"/>
  <c r="X6" i="3" s="1"/>
  <c r="AA5" i="3"/>
  <c r="W5" i="3"/>
  <c r="V5" i="3"/>
  <c r="N17" i="1"/>
  <c r="M17" i="1"/>
  <c r="J17" i="1"/>
  <c r="I17" i="1"/>
  <c r="G17" i="1"/>
  <c r="F17" i="1"/>
  <c r="D17" i="1"/>
  <c r="C17" i="1"/>
  <c r="B17" i="1"/>
  <c r="N16" i="1"/>
  <c r="M16" i="1"/>
  <c r="J16" i="1"/>
  <c r="I16" i="1"/>
  <c r="G16" i="1"/>
  <c r="N15" i="1"/>
  <c r="M15" i="1"/>
  <c r="J15" i="1"/>
  <c r="I15" i="1"/>
  <c r="N14" i="1"/>
  <c r="M14" i="1"/>
  <c r="J14" i="1"/>
  <c r="I14" i="1"/>
  <c r="G14" i="1"/>
  <c r="D14" i="1"/>
  <c r="C14" i="1"/>
  <c r="B14" i="1"/>
  <c r="N13" i="1"/>
  <c r="M13" i="1"/>
  <c r="J13" i="1"/>
  <c r="I13" i="1"/>
  <c r="D13" i="1"/>
  <c r="C13" i="1"/>
  <c r="B13" i="1"/>
  <c r="N12" i="1"/>
  <c r="M12" i="1"/>
  <c r="J12" i="1"/>
  <c r="I12" i="1"/>
  <c r="D12" i="1"/>
  <c r="C12" i="1"/>
  <c r="B12" i="1"/>
  <c r="N11" i="1"/>
  <c r="M11" i="1"/>
  <c r="J11" i="1"/>
  <c r="I11" i="1"/>
  <c r="G11" i="1"/>
  <c r="D11" i="1"/>
  <c r="C11" i="1"/>
  <c r="B11" i="1"/>
  <c r="N10" i="1"/>
  <c r="M10" i="1"/>
  <c r="J10" i="1"/>
  <c r="I10" i="1"/>
  <c r="D10" i="1"/>
  <c r="C10" i="1"/>
  <c r="B10" i="1"/>
  <c r="N9" i="1"/>
  <c r="M9" i="1"/>
  <c r="J9" i="1"/>
  <c r="I9" i="1"/>
  <c r="C9" i="1"/>
  <c r="B9" i="1"/>
  <c r="N8" i="1"/>
  <c r="M8" i="1"/>
  <c r="J8" i="1"/>
  <c r="I8" i="1"/>
  <c r="G8" i="1"/>
  <c r="C8" i="1"/>
  <c r="N7" i="1"/>
  <c r="M7" i="1"/>
  <c r="J7" i="1"/>
  <c r="I7" i="1"/>
  <c r="G7" i="1"/>
  <c r="D7" i="1"/>
  <c r="N6" i="1"/>
  <c r="M6" i="1"/>
  <c r="D6" i="1" l="1"/>
  <c r="G120" i="3"/>
  <c r="C6" i="1"/>
  <c r="H121" i="3"/>
  <c r="J6" i="1"/>
  <c r="J18" i="1" s="1"/>
  <c r="H177" i="3"/>
  <c r="X5" i="3"/>
  <c r="H145" i="3"/>
  <c r="H171" i="3" s="1"/>
  <c r="H6" i="1" s="1"/>
  <c r="X116" i="3"/>
  <c r="H176" i="3"/>
  <c r="I6" i="1"/>
  <c r="I18" i="1" s="1"/>
  <c r="H120" i="3"/>
  <c r="C122" i="3"/>
  <c r="I122" i="3"/>
  <c r="E122" i="3"/>
  <c r="F122" i="3"/>
  <c r="D122" i="3"/>
  <c r="E14" i="1"/>
  <c r="H173" i="11"/>
  <c r="K14" i="1" s="1"/>
  <c r="L14" i="1" s="1"/>
  <c r="E9" i="1"/>
  <c r="H173" i="8"/>
  <c r="K11" i="1" s="1"/>
  <c r="E10" i="1"/>
  <c r="H173" i="7"/>
  <c r="K10" i="1" s="1"/>
  <c r="L10" i="1" s="1"/>
  <c r="E13" i="1"/>
  <c r="G122" i="7"/>
  <c r="D122" i="10"/>
  <c r="N18" i="1"/>
  <c r="D9" i="1"/>
  <c r="G122" i="3"/>
  <c r="H128" i="4"/>
  <c r="H130" i="4" s="1"/>
  <c r="C7" i="1"/>
  <c r="D122" i="6"/>
  <c r="H170" i="6"/>
  <c r="H171" i="6" s="1"/>
  <c r="H122" i="7"/>
  <c r="H145" i="8"/>
  <c r="H171" i="8" s="1"/>
  <c r="H11" i="1" s="1"/>
  <c r="E122" i="10"/>
  <c r="D15" i="1"/>
  <c r="H129" i="12"/>
  <c r="W116" i="7"/>
  <c r="H170" i="10"/>
  <c r="H122" i="11"/>
  <c r="W116" i="3"/>
  <c r="C18" i="1"/>
  <c r="B7" i="1"/>
  <c r="D8" i="1"/>
  <c r="E11" i="1"/>
  <c r="F12" i="1"/>
  <c r="H145" i="4"/>
  <c r="H171" i="4" s="1"/>
  <c r="H7" i="1" s="1"/>
  <c r="E122" i="6"/>
  <c r="D122" i="13"/>
  <c r="H130" i="14"/>
  <c r="H130" i="5"/>
  <c r="H130" i="12"/>
  <c r="F8" i="1"/>
  <c r="G10" i="1"/>
  <c r="G18" i="1" s="1"/>
  <c r="B6" i="1"/>
  <c r="B18" i="1" s="1"/>
  <c r="H127" i="3"/>
  <c r="H130" i="3" s="1"/>
  <c r="D122" i="5"/>
  <c r="G122" i="6"/>
  <c r="X116" i="12"/>
  <c r="F6" i="1"/>
  <c r="F7" i="1"/>
  <c r="H139" i="12"/>
  <c r="H145" i="12" s="1"/>
  <c r="H171" i="12" s="1"/>
  <c r="H15" i="1" s="1"/>
  <c r="B15" i="1"/>
  <c r="V116" i="11"/>
  <c r="F14" i="1"/>
  <c r="V116" i="14"/>
  <c r="H145" i="14"/>
  <c r="H171" i="14" s="1"/>
  <c r="H17" i="1" s="1"/>
  <c r="H145" i="5"/>
  <c r="H171" i="5" s="1"/>
  <c r="H8" i="1" s="1"/>
  <c r="F13" i="1"/>
  <c r="H134" i="10"/>
  <c r="H145" i="10" s="1"/>
  <c r="V116" i="3"/>
  <c r="W116" i="8"/>
  <c r="X116" i="11"/>
  <c r="D16" i="1"/>
  <c r="H129" i="13"/>
  <c r="H127" i="13"/>
  <c r="H130" i="13" s="1"/>
  <c r="X116" i="14"/>
  <c r="H145" i="9"/>
  <c r="H171" i="9" s="1"/>
  <c r="H12" i="1" s="1"/>
  <c r="M18" i="1"/>
  <c r="D18" i="1"/>
  <c r="F9" i="1"/>
  <c r="F10" i="1"/>
  <c r="F11" i="1"/>
  <c r="C15" i="1"/>
  <c r="V116" i="7"/>
  <c r="W116" i="12"/>
  <c r="W116" i="14"/>
  <c r="W116" i="4"/>
  <c r="X116" i="7"/>
  <c r="X116" i="8"/>
  <c r="H130" i="9"/>
  <c r="H134" i="13"/>
  <c r="H145" i="13" s="1"/>
  <c r="H171" i="13" s="1"/>
  <c r="H16" i="1" s="1"/>
  <c r="F16" i="1"/>
  <c r="H128" i="13"/>
  <c r="H170" i="12"/>
  <c r="H170" i="9"/>
  <c r="H122" i="3" l="1"/>
  <c r="H9" i="1"/>
  <c r="H173" i="6"/>
  <c r="K9" i="1" s="1"/>
  <c r="L9" i="1" s="1"/>
  <c r="H173" i="4"/>
  <c r="K7" i="1" s="1"/>
  <c r="L7" i="1" s="1"/>
  <c r="E7" i="1"/>
  <c r="E6" i="1"/>
  <c r="H173" i="3"/>
  <c r="K6" i="1" s="1"/>
  <c r="H173" i="5"/>
  <c r="K8" i="1" s="1"/>
  <c r="L8" i="1" s="1"/>
  <c r="E8" i="1"/>
  <c r="L11" i="1"/>
  <c r="H173" i="14"/>
  <c r="K17" i="1" s="1"/>
  <c r="L17" i="1" s="1"/>
  <c r="E17" i="1"/>
  <c r="F18" i="1"/>
  <c r="H173" i="9"/>
  <c r="K12" i="1" s="1"/>
  <c r="E12" i="1"/>
  <c r="H173" i="13"/>
  <c r="K16" i="1" s="1"/>
  <c r="L16" i="1" s="1"/>
  <c r="E16" i="1"/>
  <c r="E15" i="1"/>
  <c r="H173" i="12"/>
  <c r="K15" i="1" s="1"/>
  <c r="L15" i="1" s="1"/>
  <c r="H171" i="10"/>
  <c r="H13" i="1" l="1"/>
  <c r="H18" i="1" s="1"/>
  <c r="H173" i="10"/>
  <c r="K13" i="1" s="1"/>
  <c r="L13" i="1" s="1"/>
  <c r="L6" i="1"/>
  <c r="E18" i="1"/>
  <c r="L12" i="1"/>
  <c r="K18" i="1" l="1"/>
  <c r="L18" i="1" s="1"/>
</calcChain>
</file>

<file path=xl/sharedStrings.xml><?xml version="1.0" encoding="utf-8"?>
<sst xmlns="http://schemas.openxmlformats.org/spreadsheetml/2006/main" count="1274" uniqueCount="223">
  <si>
    <t>ANCL LOGISTICS  ·  ANNUAL DASHBOARD  ·  FY 2026–27  (Apr 2026 – Mar 2027)</t>
  </si>
  <si>
    <t>All values auto-populate from monthly sheets.  No manual entry needed on this sheet.</t>
  </si>
  <si>
    <t>🟩 Green = Income   🟥 Red = Expenses   🟦 Blue = Auto-calculated   Profit = Income − Expenses</t>
  </si>
  <si>
    <t>Month</t>
  </si>
  <si>
    <t>Revenue
(To Pay) ₹</t>
  </si>
  <si>
    <t>Received ₹</t>
  </si>
  <si>
    <t>Return/Adj ₹</t>
  </si>
  <si>
    <t>Total Income ₹</t>
  </si>
  <si>
    <t>Trip Expenses ₹</t>
  </si>
  <si>
    <t>Overhead Exp ₹</t>
  </si>
  <si>
    <t>Total Expenses ₹</t>
  </si>
  <si>
    <t>Own Profit ₹</t>
  </si>
  <si>
    <t>Rented Profit ₹</t>
  </si>
  <si>
    <t>Net Profit ₹</t>
  </si>
  <si>
    <t>Profit %</t>
  </si>
  <si>
    <t>Pending Freight ₹</t>
  </si>
  <si>
    <t>Trips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</si>
  <si>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</si>
  <si>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</si>
  <si>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</si>
  <si>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</si>
  <si>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</si>
  <si>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</si>
  <si>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</si>
  <si>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</si>
  <si>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</si>
  <si>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</si>
  <si>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</si>
  <si>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</si>
  <si>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ANNUAL TOTAL</t>
  </si>
  <si>
    <t>ANCL LOGISTICS  ·  SETTINGS &amp; MASTER DATA  ·  FY 2026–27</t>
  </si>
  <si>
    <t>Fill this sheet ONCE. All monthly sheets auto-read from here.</t>
  </si>
  <si>
    <t>OWN VEHICLES  (6)</t>
  </si>
  <si>
    <t>#</t>
  </si>
  <si>
    <t>Vehicle No.</t>
  </si>
  <si>
    <t>Model / Type</t>
  </si>
  <si>
    <t>Driver Name</t>
  </si>
  <si>
    <t>EMI (₹/mo)</t>
  </si>
  <si>
    <t>Insurance Expiry</t>
  </si>
  <si>
    <t>Permit Expiry</t>
  </si>
  <si>
    <t>FC Expiry</t>
  </si>
  <si>
    <t>Fuel</t>
  </si>
  <si>
    <t>Notes</t>
  </si>
  <si>
    <t>KA-XX-7195</t>
  </si>
  <si>
    <t>Truck</t>
  </si>
  <si>
    <t>Sharanu</t>
  </si>
  <si>
    <t>Diesel</t>
  </si>
  <si>
    <t>KA-XX-4608</t>
  </si>
  <si>
    <t>Manju K</t>
  </si>
  <si>
    <t>KA-XX-6421</t>
  </si>
  <si>
    <t>Rafiq</t>
  </si>
  <si>
    <t>KA-XX-8660</t>
  </si>
  <si>
    <t>Sachin</t>
  </si>
  <si>
    <t>KA-XX-1288</t>
  </si>
  <si>
    <t>Rahul</t>
  </si>
  <si>
    <t>KA-XX-262</t>
  </si>
  <si>
    <t>Rasul</t>
  </si>
  <si>
    <t>RENTED / ATTACHED VEHICLES  (4)</t>
  </si>
  <si>
    <t>Owner/Driver</t>
  </si>
  <si>
    <t>Agreed Rate (₹)</t>
  </si>
  <si>
    <t>Commission %</t>
  </si>
  <si>
    <t>Contract From</t>
  </si>
  <si>
    <t>Contract To</t>
  </si>
  <si>
    <t>Pay Terms</t>
  </si>
  <si>
    <t>KA-XX-467</t>
  </si>
  <si>
    <t>Lorry</t>
  </si>
  <si>
    <t>Manju M</t>
  </si>
  <si>
    <t>Per Trip</t>
  </si>
  <si>
    <t>KA-XX-7559</t>
  </si>
  <si>
    <t>Adil</t>
  </si>
  <si>
    <t>KA-XX-8662</t>
  </si>
  <si>
    <t>Manju MLP</t>
  </si>
  <si>
    <t>KA-XX-ATTACH</t>
  </si>
  <si>
    <t>Various</t>
  </si>
  <si>
    <t>Attach/Owner</t>
  </si>
  <si>
    <t>DEFAULT BHATTA RATES (₹ per trip)</t>
  </si>
  <si>
    <t>Driver</t>
  </si>
  <si>
    <t>Vehicle</t>
  </si>
  <si>
    <t>Bhatta Rate (₹)</t>
  </si>
  <si>
    <t>OVERHEAD CATEGORY LABELS (edit col B to rename in all sheets)</t>
  </si>
  <si>
    <t>Diesel MLP / Bulk</t>
  </si>
  <si>
    <t>← Edit label in col B</t>
  </si>
  <si>
    <t>Driver Salaries</t>
  </si>
  <si>
    <t>Vehicle EMI - 7195</t>
  </si>
  <si>
    <t>Vehicle EMI - 4608</t>
  </si>
  <si>
    <t>Vehicle EMI - 6421</t>
  </si>
  <si>
    <t>Vehicle EMI - 8660</t>
  </si>
  <si>
    <t>Vehicle EMI - 1288</t>
  </si>
  <si>
    <t>Vehicle EMI - 262</t>
  </si>
  <si>
    <t>Vehicle EMI - New Vehicle</t>
  </si>
  <si>
    <t>Vehicle Maintenance</t>
  </si>
  <si>
    <t>Shop Rent</t>
  </si>
  <si>
    <t>Electricity &amp; Bills</t>
  </si>
  <si>
    <t>Chits / Pigmy</t>
  </si>
  <si>
    <t>LR Printing &amp; Stationery</t>
  </si>
  <si>
    <t>Tea / Snacks / Food</t>
  </si>
  <si>
    <t>Commission (Office)</t>
  </si>
  <si>
    <t>Profit Encashment</t>
  </si>
  <si>
    <t>Misc 1</t>
  </si>
  <si>
    <t>Misc 2</t>
  </si>
  <si>
    <t>Misc 3</t>
  </si>
  <si>
    <t>Misc 4</t>
  </si>
  <si>
    <t>Misc 5</t>
  </si>
  <si>
    <t>Misc 6</t>
  </si>
  <si>
    <t>ANCL LOGISTICS  ·  MONTHLY TRIP &amp; ACCOUNTS LOG  ·  APR 2026</t>
  </si>
  <si>
    <t>🟩 Green = Income  🟥 Red = Expenses  🟦 Blue = Auto-calculated  🟨 Enter here  |  Pending Freight = manual entry only</t>
  </si>
  <si>
    <t>Own Vehicle: Trip Profit = (Rev+Recd+Adj) − (Bhatta+Hamali+…+Misc3)  |  Rented Vehicle: Trip Profit = Received + Attach Comm</t>
  </si>
  <si>
    <t>FIXED / OVERHEAD EXPENSES  (enter once per month)</t>
  </si>
  <si>
    <t>S.No</t>
  </si>
  <si>
    <t>Date</t>
  </si>
  <si>
    <t>TS #</t>
  </si>
  <si>
    <t>Type
(Own/Rented)</t>
  </si>
  <si>
    <t>Revenue
(To Pay ₹)</t>
  </si>
  <si>
    <t>Received
(Paid ₹)</t>
  </si>
  <si>
    <t>Pending
Freight ₹</t>
  </si>
  <si>
    <t>Return /
Adj ₹</t>
  </si>
  <si>
    <t>Bhatta ₹</t>
  </si>
  <si>
    <t>Hamali ₹</t>
  </si>
  <si>
    <t>Diesel
HBL ₹</t>
  </si>
  <si>
    <t>Attach
Comm ₹</t>
  </si>
  <si>
    <t>Diesel
MLP ₹</t>
  </si>
  <si>
    <t>Tea /
Snacks ₹</t>
  </si>
  <si>
    <t>Vehicle
Maint ₹</t>
  </si>
  <si>
    <t>Salary ₹</t>
  </si>
  <si>
    <t>Misc 1 ₹</t>
  </si>
  <si>
    <t>Misc 2 ₹</t>
  </si>
  <si>
    <t>Misc 3 ₹</t>
  </si>
  <si>
    <t>Trip Revenue
(auto) ₹</t>
  </si>
  <si>
    <t>Trip Expenses
(auto) ₹</t>
  </si>
  <si>
    <t>Trip Profit
(auto) ₹</t>
  </si>
  <si>
    <t>Notes / Description</t>
  </si>
  <si>
    <t>Overhead Category</t>
  </si>
  <si>
    <t>Amount ₹</t>
  </si>
  <si>
    <t>Description / Explanation</t>
  </si>
  <si>
    <t>TRIP TOTALS</t>
  </si>
  <si>
    <t>OVERHEAD TOTAL</t>
  </si>
  <si>
    <t>VEHICLE TYPE SUMMARY  (auto-calculated from Type column F)</t>
  </si>
  <si>
    <t>Type</t>
  </si>
  <si>
    <t>Revenue ₹</t>
  </si>
  <si>
    <t>Trip Profit ₹</t>
  </si>
  <si>
    <t>OWN VEHICLES</t>
  </si>
  <si>
    <t>RENTED VEHICLES</t>
  </si>
  <si>
    <t>TOTAL</t>
  </si>
  <si>
    <t>MONTHLY P&amp;L SUMMARY  —  APR 2026</t>
  </si>
  <si>
    <t>Description</t>
  </si>
  <si>
    <t>Amount (₹)</t>
  </si>
  <si>
    <t>Note</t>
  </si>
  <si>
    <t xml:space="preserve">  INCOME / REVENUE</t>
  </si>
  <si>
    <t xml:space="preserve">  Revenue (To Pay) — total billed to customers</t>
  </si>
  <si>
    <t>Gross billed for all trips</t>
  </si>
  <si>
    <t xml:space="preserve">  Received (Paid) — cash actually collected</t>
  </si>
  <si>
    <t>Cash received from customers</t>
  </si>
  <si>
    <t xml:space="preserve">  Return / Adjustments</t>
  </si>
  <si>
    <t>Return freight &amp; adjustments</t>
  </si>
  <si>
    <t xml:space="preserve">  TOTAL INCOME  (A)</t>
  </si>
  <si>
    <t xml:space="preserve">  EXPENSES</t>
  </si>
  <si>
    <t xml:space="preserve">    Per-Trip Expenses (from Trip Log)</t>
  </si>
  <si>
    <t xml:space="preserve">    Bhatta</t>
  </si>
  <si>
    <t>Driver daily allowance</t>
  </si>
  <si>
    <t xml:space="preserve">    Hamali</t>
  </si>
  <si>
    <t>Loading/unloading labour</t>
  </si>
  <si>
    <t xml:space="preserve">    Diesel — HBL (per trip)</t>
  </si>
  <si>
    <t>Diesel at HBL per trip</t>
  </si>
  <si>
    <t xml:space="preserve">    Attach Commission</t>
  </si>
  <si>
    <t>Commission to attached/rented vehicles</t>
  </si>
  <si>
    <t xml:space="preserve">    Diesel — MLP (per trip)</t>
  </si>
  <si>
    <t>Diesel at MLP per trip</t>
  </si>
  <si>
    <t xml:space="preserve">    Tea / Snacks (per trip)</t>
  </si>
  <si>
    <t xml:space="preserve">    Vehicle Maintenance</t>
  </si>
  <si>
    <t xml:space="preserve">    Salary</t>
  </si>
  <si>
    <t xml:space="preserve">    Misc 1</t>
  </si>
  <si>
    <t xml:space="preserve">    Misc 2</t>
  </si>
  <si>
    <t xml:space="preserve">    Misc 3</t>
  </si>
  <si>
    <t xml:space="preserve">  Sub-total: Per-Trip Expenses</t>
  </si>
  <si>
    <t>Sum of all per-trip expense columns</t>
  </si>
  <si>
    <t xml:space="preserve">    Overhead / Fixed Expenses (Monthly)</t>
  </si>
  <si>
    <t xml:space="preserve">  Sub-total: Overhead / Fixed Expenses</t>
  </si>
  <si>
    <t>Sum of all overhead entries</t>
  </si>
  <si>
    <t xml:space="preserve">  TOTAL EXPENSES  (B)</t>
  </si>
  <si>
    <t xml:space="preserve">  NET PROFIT / (LOSS)  =  (A) − (B)</t>
  </si>
  <si>
    <t xml:space="preserve">  PROFIT SPLIT: OWN vs RENTED VEHICLES</t>
  </si>
  <si>
    <t xml:space="preserve">  Own Vehicles — Profit  =  (Rev + Recd + Adj) − (Bhatta+Hamali+DslHBL+AttachComm+DslMLP+Tea+Maint+Sal+Misc)</t>
  </si>
  <si>
    <t>From Trip Profit col (auto)</t>
  </si>
  <si>
    <t xml:space="preserve">  Rented Vehicles — Profit  =  Received + Attach Commission</t>
  </si>
  <si>
    <t xml:space="preserve">  TOTAL PENDING FREIGHT  (Outstanding from customers)</t>
  </si>
  <si>
    <t>Manual entries from Pending Freight column. Delete entry once collected.</t>
  </si>
  <si>
    <t>ANCL LOGISTICS  ·  MONTHLY TRIP &amp; ACCOUNTS LOG  ·  MAY 2026</t>
  </si>
  <si>
    <t>MONTHLY P&amp;L SUMMARY  —  MAY 2026</t>
  </si>
  <si>
    <t>ANCL LOGISTICS  ·  MONTHLY TRIP &amp; ACCOUNTS LOG  ·  JUN 2026</t>
  </si>
  <si>
    <t>MONTHLY P&amp;L SUMMARY  —  JUN 2026</t>
  </si>
  <si>
    <t>ANCL LOGISTICS  ·  MONTHLY TRIP &amp; ACCOUNTS LOG  ·  JUL 2026</t>
  </si>
  <si>
    <t>MONTHLY P&amp;L SUMMARY  —  JUL 2026</t>
  </si>
  <si>
    <t>ANCL LOGISTICS  ·  MONTHLY TRIP &amp; ACCOUNTS LOG  ·  AUG 2026</t>
  </si>
  <si>
    <t>MONTHLY P&amp;L SUMMARY  —  AUG 2026</t>
  </si>
  <si>
    <t>ANCL LOGISTICS  ·  MONTHLY TRIP &amp; ACCOUNTS LOG  ·  SEP 2026</t>
  </si>
  <si>
    <t>MONTHLY P&amp;L SUMMARY  —  SEP 2026</t>
  </si>
  <si>
    <t>ANCL LOGISTICS  ·  MONTHLY TRIP &amp; ACCOUNTS LOG  ·  OCT 2026</t>
  </si>
  <si>
    <t>MONTHLY P&amp;L SUMMARY  —  OCT 2026</t>
  </si>
  <si>
    <t>ANCL LOGISTICS  ·  MONTHLY TRIP &amp; ACCOUNTS LOG  ·  NOV 2026</t>
  </si>
  <si>
    <t>MONTHLY P&amp;L SUMMARY  —  NOV 2026</t>
  </si>
  <si>
    <t>ANCL LOGISTICS  ·  MONTHLY TRIP &amp; ACCOUNTS LOG  ·  DEC 2026</t>
  </si>
  <si>
    <t>MONTHLY P&amp;L SUMMARY  —  DEC 2026</t>
  </si>
  <si>
    <t>ANCL LOGISTICS  ·  MONTHLY TRIP &amp; ACCOUNTS LOG  ·  JAN 2027</t>
  </si>
  <si>
    <t>MONTHLY P&amp;L SUMMARY  —  JAN 2027</t>
  </si>
  <si>
    <t>ANCL LOGISTICS  ·  MONTHLY TRIP &amp; ACCOUNTS LOG  ·  FEB 2027</t>
  </si>
  <si>
    <t>MONTHLY P&amp;L SUMMARY  —  FEB 2027</t>
  </si>
  <si>
    <t>ANCL LOGISTICS  ·  MONTHLY TRIP &amp; ACCOUNTS LOG  ·  MAR 2027</t>
  </si>
  <si>
    <t>MONTHLY P&amp;L SUMMARY  —  MAR 2027</t>
  </si>
  <si>
    <t>RENTED VEHICLE — COMMISSION &amp; PAYMENT LEDGER  ·  FY 2026–27</t>
  </si>
  <si>
    <t>Profit per trip = Received + Attach Commission.  Delete Pending Freight entry once collected.</t>
  </si>
  <si>
    <t>Driver/Owner</t>
  </si>
  <si>
    <t>Amount
Paid ₹</t>
  </si>
  <si>
    <t>Profit
(Paid+Comm) ₹</t>
  </si>
  <si>
    <t>Running
Outstanding ₹</t>
  </si>
  <si>
    <t>Notes / Reason</t>
  </si>
  <si>
    <t>TOTALS</t>
  </si>
  <si>
    <t>SHIVU</t>
  </si>
  <si>
    <t>Own</t>
  </si>
  <si>
    <t>YAMANAPPA</t>
  </si>
  <si>
    <t>SALEEM</t>
  </si>
  <si>
    <t>Rented</t>
  </si>
  <si>
    <t>RAFIQ</t>
  </si>
  <si>
    <t>VINOD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</si>
</sst>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;\(\₹#,##0\);&quot;-&quot;"/>
    <numFmt numFmtId="165" formatCode="0.0%"/>
    <numFmt numFmtId="166" formatCode="dd\-mmm\-yy"/>
  </numFmts>
  <fonts count="3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9"/>
      <color rgb="FF1A1A1A"/>
      <name val="Arial"/>
    </font>
    <font>
      <sz val="10"/>
      <color rgb="FF1A1A1A"/>
      <name val="Arial"/>
    </font>
    <font>
      <sz val="9"/>
      <color rgb="FF1A1A1A"/>
      <name val="Arial"/>
    </font>
    <font>
      <i/>
      <sz val="8"/>
      <color rgb="FF888888"/>
      <name val="Arial"/>
    </font>
    <font>
      <b/>
      <sz val="14"/>
      <color rgb="FFFFFFFF"/>
      <name val="Arial"/>
    </font>
    <font>
      <i/>
      <sz val="8"/>
      <color rgb="FF1A1A1A"/>
      <name val="Arial"/>
    </font>
    <font>
      <i/>
      <sz val="8"/>
      <color rgb="FF5D4037"/>
      <name val="Arial"/>
    </font>
    <font>
      <b/>
      <sz val="9"/>
      <color rgb="FFFFFFFF"/>
      <name val="Arial"/>
    </font>
    <font>
      <b/>
      <sz val="9"/>
      <color rgb="FFC0392B"/>
      <name val="Arial"/>
    </font>
    <font>
      <b/>
      <sz val="9"/>
      <color rgb="FF1A5276"/>
      <name val="Arial"/>
    </font>
    <font>
      <b/>
      <sz val="9"/>
      <color rgb="FF1B3A6B"/>
      <name val="Arial"/>
    </font>
    <font>
      <b/>
      <sz val="10"/>
      <color rgb="FFD4A017"/>
      <name val="Arial"/>
    </font>
    <font>
      <b/>
      <sz val="9"/>
      <color rgb="FFE67E22"/>
      <name val="Arial"/>
    </font>
    <font>
      <sz val="9"/>
      <color rgb="FFC0392B"/>
      <name val="Arial"/>
    </font>
    <font>
      <b/>
      <sz val="9"/>
      <color rgb="FF0D7377"/>
      <name val="Arial"/>
    </font>
    <font>
      <b/>
      <sz val="12"/>
      <color rgb="FFFFFFFF"/>
      <name val="Arial"/>
    </font>
    <font>
      <i/>
      <sz val="8"/>
      <color rgb="FF555555"/>
      <name val="Arial"/>
    </font>
    <font>
      <b/>
      <sz val="10"/>
      <color rgb="FFE67E22"/>
      <name val="Arial"/>
    </font>
    <font>
      <b/>
      <sz val="12"/>
      <color rgb="FFD4A017"/>
      <name val="Arial"/>
    </font>
    <font>
      <sz val="9"/>
      <color rgb="FF1A5276"/>
      <name val="Arial"/>
    </font>
    <font>
      <b/>
      <sz val="10"/>
      <color rgb="FF1A5276"/>
      <name val="Arial"/>
    </font>
    <font>
      <sz val="9"/>
      <color rgb="FF0E6655"/>
      <name val="Arial"/>
    </font>
    <font>
      <b/>
      <sz val="10"/>
      <color rgb="FF0E6655"/>
      <name val="Arial"/>
    </font>
    <font>
      <i/>
      <sz val="9"/>
      <color rgb="FFC0392B"/>
      <name val="Arial"/>
    </font>
    <font>
      <b/>
      <sz val="10"/>
      <color rgb="FF1A1A1A"/>
      <name val="Arial"/>
    </font>
    <font>
      <b/>
      <sz val="9"/>
      <color rgb="FF0E6655"/>
      <name val="Arial"/>
    </font>
    <font>
      <b/>
      <sz val="9"/>
      <color rgb="FFD4A017"/>
      <name val="Arial"/>
    </font>
    <font>
      <b/>
      <sz val="9"/>
      <color rgb="FF1A7F37"/>
      <name val="Arial"/>
    </font>
  </fonts>
  <fills count="2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4A017"/>
      </patternFill>
    </fill>
    <fill>
      <patternFill patternType="solid">
        <fgColor rgb="FFE67E22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D7377"/>
      </patternFill>
    </fill>
    <fill>
      <patternFill patternType="solid">
        <fgColor rgb="FFEBF5FB"/>
      </patternFill>
    </fill>
    <fill>
      <patternFill patternType="solid">
        <fgColor rgb="FFEAFAF1"/>
      </patternFill>
    </fill>
    <fill>
      <patternFill patternType="solid">
        <fgColor rgb="FF6C3483"/>
      </patternFill>
    </fill>
    <fill>
      <patternFill patternType="solid">
        <fgColor rgb="FFFFF9C4"/>
      </patternFill>
    </fill>
    <fill>
      <patternFill patternType="solid">
        <fgColor rgb="FFFEF5E7"/>
      </patternFill>
    </fill>
    <fill>
      <patternFill patternType="solid">
        <fgColor rgb="FF1A7F37"/>
      </patternFill>
    </fill>
    <fill>
      <patternFill patternType="solid">
        <fgColor rgb="FFC0392B"/>
      </patternFill>
    </fill>
    <fill>
      <patternFill patternType="solid">
        <fgColor rgb="FF1A5276"/>
      </patternFill>
    </fill>
    <fill>
      <patternFill patternType="solid">
        <fgColor rgb="FFE8F8F5"/>
      </patternFill>
    </fill>
    <fill>
      <patternFill patternType="solid">
        <fgColor rgb="FFFDEDEC"/>
      </patternFill>
    </fill>
    <fill>
      <patternFill patternType="solid">
        <fgColor rgb="FFE8EAF6"/>
      </patternFill>
    </fill>
    <fill>
      <patternFill patternType="solid">
        <fgColor rgb="FFDFF2FB"/>
      </patternFill>
    </fill>
    <fill>
      <patternFill patternType="solid">
        <fgColor rgb="FFD1F2EB"/>
      </patternFill>
    </fill>
    <fill>
      <patternFill patternType="solid">
        <fgColor rgb="FFFADBD8"/>
      </patternFill>
    </fill>
    <fill>
      <patternFill patternType="solid">
        <fgColor rgb="FFD1D9FF"/>
      </patternFill>
    </fill>
  </fills>
  <borders count="4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/>
    </xf>
    <xf numFmtId="164" fontId="6" fillId="17" borderId="2" xfId="0" applyNumberFormat="1" applyFont="1" applyFill="1" applyBorder="1" applyAlignment="1">
      <alignment horizontal="right" vertical="center"/>
    </xf>
    <xf numFmtId="164" fontId="11" fillId="14" borderId="2" xfId="0" applyNumberFormat="1" applyFont="1" applyFill="1" applyBorder="1" applyAlignment="1">
      <alignment horizontal="right" vertical="center"/>
    </xf>
    <xf numFmtId="164" fontId="6" fillId="18" borderId="2" xfId="0" applyNumberFormat="1" applyFont="1" applyFill="1" applyBorder="1" applyAlignment="1">
      <alignment horizontal="right" vertical="center"/>
    </xf>
    <xf numFmtId="164" fontId="11" fillId="15" borderId="2" xfId="0" applyNumberFormat="1" applyFont="1" applyFill="1" applyBorder="1" applyAlignment="1">
      <alignment horizontal="right" vertical="center"/>
    </xf>
    <xf numFmtId="164" fontId="13" fillId="9" borderId="2" xfId="0" applyNumberFormat="1" applyFont="1" applyFill="1" applyBorder="1" applyAlignment="1">
      <alignment horizontal="right" vertical="center"/>
    </xf>
    <xf numFmtId="164" fontId="29" fillId="10" borderId="2" xfId="0" applyNumberFormat="1" applyFont="1" applyFill="1" applyBorder="1" applyAlignment="1">
      <alignment horizontal="right" vertical="center"/>
    </xf>
    <xf numFmtId="164" fontId="30" fillId="2" borderId="2" xfId="0" applyNumberFormat="1" applyFont="1" applyFill="1" applyBorder="1" applyAlignment="1">
      <alignment horizontal="right" vertical="center"/>
    </xf>
    <xf numFmtId="165" fontId="6" fillId="9" borderId="2" xfId="0" applyNumberFormat="1" applyFont="1" applyFill="1" applyBorder="1" applyAlignment="1">
      <alignment horizontal="right" vertical="center"/>
    </xf>
    <xf numFmtId="164" fontId="12" fillId="22" borderId="2" xfId="0" applyNumberFormat="1" applyFont="1" applyFill="1" applyBorder="1" applyAlignment="1">
      <alignment horizontal="right" vertical="center"/>
    </xf>
    <xf numFmtId="0" fontId="6" fillId="9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164" fontId="6" fillId="21" borderId="2" xfId="0" applyNumberFormat="1" applyFont="1" applyFill="1" applyBorder="1" applyAlignment="1">
      <alignment horizontal="right" vertical="center"/>
    </xf>
    <xf numFmtId="164" fontId="6" fillId="22" borderId="2" xfId="0" applyNumberFormat="1" applyFont="1" applyFill="1" applyBorder="1" applyAlignment="1">
      <alignment horizontal="right" vertical="center"/>
    </xf>
    <xf numFmtId="165" fontId="6" fillId="6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164" fontId="15" fillId="2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center" vertical="center"/>
    </xf>
    <xf numFmtId="165" fontId="5" fillId="10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1" fillId="16" borderId="1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11" fillId="4" borderId="1" xfId="0" applyFont="1" applyFill="1" applyBorder="1" applyAlignment="1">
      <alignment horizontal="center" vertical="center" wrapText="1"/>
    </xf>
    <xf numFmtId="166" fontId="6" fillId="9" borderId="2" xfId="0" applyNumberFormat="1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right" vertical="center"/>
    </xf>
    <xf numFmtId="164" fontId="13" fillId="19" borderId="1" xfId="0" applyNumberFormat="1" applyFont="1" applyFill="1" applyBorder="1" applyAlignment="1">
      <alignment horizontal="right" vertical="center"/>
    </xf>
    <xf numFmtId="164" fontId="12" fillId="19" borderId="1" xfId="0" applyNumberFormat="1" applyFont="1" applyFill="1" applyBorder="1" applyAlignment="1">
      <alignment horizontal="right" vertical="center"/>
    </xf>
    <xf numFmtId="164" fontId="14" fillId="19" borderId="1" xfId="0" applyNumberFormat="1" applyFont="1" applyFill="1" applyBorder="1" applyAlignment="1">
      <alignment horizontal="right" vertical="center"/>
    </xf>
    <xf numFmtId="0" fontId="6" fillId="12" borderId="2" xfId="0" applyFont="1" applyFill="1" applyBorder="1" applyAlignment="1">
      <alignment horizontal="left" vertical="center" wrapText="1"/>
    </xf>
    <xf numFmtId="0" fontId="0" fillId="0" borderId="3" xfId="0" applyBorder="1"/>
    <xf numFmtId="164" fontId="6" fillId="6" borderId="2" xfId="0" applyNumberFormat="1" applyFont="1" applyFill="1" applyBorder="1" applyAlignment="1">
      <alignment horizontal="right" vertical="center"/>
    </xf>
    <xf numFmtId="166" fontId="6" fillId="6" borderId="2" xfId="0" applyNumberFormat="1" applyFont="1" applyFill="1" applyBorder="1" applyAlignment="1">
      <alignment horizontal="center" vertical="center"/>
    </xf>
    <xf numFmtId="166" fontId="6" fillId="20" borderId="2" xfId="0" applyNumberFormat="1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164" fontId="13" fillId="23" borderId="1" xfId="0" applyNumberFormat="1" applyFont="1" applyFill="1" applyBorder="1" applyAlignment="1">
      <alignment horizontal="right" vertical="center"/>
    </xf>
    <xf numFmtId="164" fontId="12" fillId="23" borderId="1" xfId="0" applyNumberFormat="1" applyFont="1" applyFill="1" applyBorder="1" applyAlignment="1">
      <alignment horizontal="right" vertical="center"/>
    </xf>
    <xf numFmtId="164" fontId="14" fillId="23" borderId="1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166" fontId="6" fillId="7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right" vertical="center"/>
    </xf>
    <xf numFmtId="164" fontId="2" fillId="15" borderId="1" xfId="0" applyNumberFormat="1" applyFont="1" applyFill="1" applyBorder="1" applyAlignment="1">
      <alignment horizontal="right" vertical="center"/>
    </xf>
    <xf numFmtId="164" fontId="2" fillId="16" borderId="1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right" vertical="center"/>
    </xf>
    <xf numFmtId="164" fontId="17" fillId="9" borderId="2" xfId="0" applyNumberFormat="1" applyFont="1" applyFill="1" applyBorder="1" applyAlignment="1">
      <alignment horizontal="right" vertical="center"/>
    </xf>
    <xf numFmtId="164" fontId="14" fillId="9" borderId="2" xfId="0" applyNumberFormat="1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center" vertical="center"/>
    </xf>
    <xf numFmtId="164" fontId="6" fillId="10" borderId="2" xfId="0" applyNumberFormat="1" applyFont="1" applyFill="1" applyBorder="1" applyAlignment="1">
      <alignment horizontal="right" vertical="center"/>
    </xf>
    <xf numFmtId="164" fontId="17" fillId="10" borderId="2" xfId="0" applyNumberFormat="1" applyFont="1" applyFill="1" applyBorder="1" applyAlignment="1">
      <alignment horizontal="right" vertical="center"/>
    </xf>
    <xf numFmtId="164" fontId="14" fillId="10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5" fillId="17" borderId="1" xfId="0" applyNumberFormat="1" applyFont="1" applyFill="1" applyBorder="1" applyAlignment="1">
      <alignment horizontal="right" vertical="center"/>
    </xf>
    <xf numFmtId="164" fontId="5" fillId="22" borderId="1" xfId="0" applyNumberFormat="1" applyFont="1" applyFill="1" applyBorder="1" applyAlignment="1">
      <alignment horizontal="right" vertical="center"/>
    </xf>
    <xf numFmtId="164" fontId="21" fillId="13" borderId="1" xfId="0" applyNumberFormat="1" applyFont="1" applyFill="1" applyBorder="1" applyAlignment="1">
      <alignment horizontal="right" vertical="center"/>
    </xf>
    <xf numFmtId="164" fontId="6" fillId="22" borderId="1" xfId="0" applyNumberFormat="1" applyFont="1" applyFill="1" applyBorder="1" applyAlignment="1">
      <alignment horizontal="right" vertical="center"/>
    </xf>
    <xf numFmtId="164" fontId="22" fillId="2" borderId="1" xfId="0" applyNumberFormat="1" applyFont="1" applyFill="1" applyBorder="1" applyAlignment="1">
      <alignment horizontal="right" vertical="center"/>
    </xf>
    <xf numFmtId="164" fontId="24" fillId="9" borderId="1" xfId="0" applyNumberFormat="1" applyFont="1" applyFill="1" applyBorder="1" applyAlignment="1">
      <alignment horizontal="right" vertical="center"/>
    </xf>
    <xf numFmtId="164" fontId="26" fillId="10" borderId="1" xfId="0" applyNumberFormat="1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center" vertical="center" wrapText="1"/>
    </xf>
    <xf numFmtId="164" fontId="31" fillId="17" borderId="1" xfId="0" applyNumberFormat="1" applyFont="1" applyFill="1" applyBorder="1" applyAlignment="1">
      <alignment horizontal="right" vertical="center"/>
    </xf>
    <xf numFmtId="164" fontId="12" fillId="13" borderId="1" xfId="0" applyNumberFormat="1" applyFont="1" applyFill="1" applyBorder="1" applyAlignment="1">
      <alignment horizontal="right" vertical="center"/>
    </xf>
    <xf numFmtId="0" fontId="6" fillId="10" borderId="2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vertical="center"/>
    </xf>
    <xf numFmtId="0" fontId="6" fillId="18" borderId="2" xfId="0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left" vertical="center"/>
    </xf>
    <xf numFmtId="0" fontId="20" fillId="13" borderId="2" xfId="0" applyFont="1" applyFill="1" applyBorder="1" applyAlignment="1">
      <alignment horizontal="left" vertical="center"/>
    </xf>
    <xf numFmtId="0" fontId="20" fillId="17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2" fillId="15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6" fillId="13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20" fillId="10" borderId="2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left" vertical="center"/>
    </xf>
    <xf numFmtId="0" fontId="27" fillId="12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left" vertical="center"/>
    </xf>
    <xf numFmtId="0" fontId="25" fillId="10" borderId="2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8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9" width="15" customWidth="1"/>
    <col min="10" max="14" width="14" customWidth="1"/>
  </cols>
  <sheetData>
    <row r="2" spans="1:14" ht="40.049999999999997" customHeight="1" x14ac:dyDescent="0.3">
      <c r="A2" s="96" t="s">
        <v>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14" ht="19.95" customHeight="1" x14ac:dyDescent="0.3">
      <c r="A3" s="95" t="s">
        <v>1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</row>
    <row r="4" spans="1:14" ht="18" customHeight="1" x14ac:dyDescent="0.3">
      <c r="A4" s="93" t="s">
        <v>2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ht="43.95" customHeight="1" x14ac:dyDescent="0.3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3" t="s">
        <v>8</v>
      </c>
      <c r="G5" s="3" t="s">
        <v>9</v>
      </c>
      <c r="H5" s="3" t="s">
        <v>10</v>
      </c>
      <c r="I5" s="1" t="s">
        <v>11</v>
      </c>
      <c r="J5" s="1" t="s">
        <v>12</v>
      </c>
      <c r="K5" s="1" t="s">
        <v>13</v>
      </c>
      <c r="L5" s="4" t="s">
        <v>14</v>
      </c>
      <c r="M5" s="3" t="s">
        <v>15</v>
      </c>
      <c r="N5" s="1" t="s">
        <v>16</v>
      </c>
    </row>
    <row r="6" spans="1:14" ht="19.95" customHeight="1" x14ac:dyDescent="0.3">
      <c r="A6" s="5" t="s">
        <v>17</v>
      </c>
      <c r="B6" s="6">
        <f>IFERROR('Apr 26'!G116,0)</f>
        <v>18980</v>
      </c>
      <c r="C6" s="6">
        <f>IFERROR('Apr 26'!H116,0)</f>
        <v>17825</v>
      </c>
      <c r="D6" s="6">
        <f>IFERROR('Apr 26'!J116,0)</f>
        <v>0</v>
      </c>
      <c r="E6" s="7">
        <f>IFERROR('Apr 26'!H130,0)</f>
        <v>36805</v>
      </c>
      <c r="F6" s="8">
        <f>IFERROR('Apr 26'!K116+'Apr 26'!L116+'Apr 26'!M116+'Apr 26'!N116+'Apr 26'!O116+'Apr 26'!P116+'Apr 26'!Q116+'Apr 26'!R116+'Apr 26'!S116+'Apr 26'!T116+'Apr 26'!U116,0)</f>
        <v>9550</v>
      </c>
      <c r="G6" s="8">
        <f>IFERROR('Apr 26'!AB116,0)</f>
        <v>0</v>
      </c>
      <c r="H6" s="9">
        <f>IFERROR('Apr 26'!H171,0)</f>
        <v>9550</v>
      </c>
      <c r="I6" s="10">
        <f>IFERROR(SUMIF('Apr 26'!F5:'Apr 26'!F115,"Own",'Apr 26'!X5:'Apr 26'!X115),0)</f>
        <v>24895</v>
      </c>
      <c r="J6" s="11">
        <f>IFERROR(SUMIF('Apr 26'!F5:'Apr 26'!F115,"Rented",'Apr 26'!X5:'Apr 26'!X115),0)</f>
        <v>1800</v>
      </c>
      <c r="K6" s="12">
        <f>IFERROR('Apr 26'!H173,0)</f>
        <v>27255</v>
      </c>
      <c r="L6" s="13">
        <f t="shared" ref="L6:L18" si="0">IFERROR(K6/E6,0)</f>
        <v>0.74052438527373998</v>
      </c>
      <c r="M6" s="14">
        <f>IFERROR(SUM('Apr 26'!I5:'Apr 26'!I115),0)</f>
        <v>150</v>
      </c>
      <c r="N6" s="15">
        <f>IFERROR(COUNTA('Apr 26'!C5:'Apr 26'!C115),0)</f>
        <v>5</v>
      </c>
    </row>
    <row r="7" spans="1:14" ht="19.95" customHeight="1" x14ac:dyDescent="0.3">
      <c r="A7" s="16" t="s">
        <v>18</v>
      </c>
      <c r="B7" s="17">
        <f>IFERROR('May 26'!G116,0)</f>
        <v>0</v>
      </c>
      <c r="C7" s="17">
        <f>IFERROR('May 26'!H116,0)</f>
        <v>0</v>
      </c>
      <c r="D7" s="17">
        <f>IFERROR('May 26'!J116,0)</f>
        <v>0</v>
      </c>
      <c r="E7" s="7">
        <f>IFERROR('May 26'!H130,0)</f>
        <v>0</v>
      </c>
      <c r="F7" s="18">
        <f>IFERROR('May 26'!K116+'May 26'!L116+'May 26'!M116+'May 26'!N116+'May 26'!O116+'May 26'!P116+'May 26'!Q116+'May 26'!R116+'May 26'!S116+'May 26'!T116+'May 26'!U116,0)</f>
        <v>0</v>
      </c>
      <c r="G7" s="18">
        <f>IFERROR('May 26'!AB116,0)</f>
        <v>0</v>
      </c>
      <c r="H7" s="9">
        <f>IFERROR('May 26'!H171,0)</f>
        <v>0</v>
      </c>
      <c r="I7" s="10">
        <f>IFERROR(SUMIF('May 26'!F5:'May 26'!F115,"Own",'May 26'!X5:'May 26'!X115),0)</f>
        <v>0</v>
      </c>
      <c r="J7" s="11">
        <f>IFERROR(SUMIF('May 26'!F5:'May 26'!F115,"Rented",'May 26'!X5:'May 26'!X115),0)</f>
        <v>0</v>
      </c>
      <c r="K7" s="12">
        <f>IFERROR('May 26'!H173,0)</f>
        <v>0</v>
      </c>
      <c r="L7" s="19">
        <f t="shared" si="0"/>
        <v>0</v>
      </c>
      <c r="M7" s="14">
        <f>IFERROR(SUM('May 26'!I5:'May 26'!I115),0)</f>
        <v>0</v>
      </c>
      <c r="N7" s="20">
        <f>IFERROR(COUNTA('May 26'!C5:'May 26'!C115),0)</f>
        <v>0</v>
      </c>
    </row>
    <row r="8" spans="1:14" ht="19.95" customHeight="1" x14ac:dyDescent="0.3">
      <c r="A8" s="5" t="s">
        <v>19</v>
      </c>
      <c r="B8" s="6">
        <f>IFERROR('Jun 26'!G116,0)</f>
        <v>0</v>
      </c>
      <c r="C8" s="6">
        <f>IFERROR('Jun 26'!H116,0)</f>
        <v>0</v>
      </c>
      <c r="D8" s="6">
        <f>IFERROR('Jun 26'!J116,0)</f>
        <v>0</v>
      </c>
      <c r="E8" s="7">
        <f>IFERROR('Jun 26'!H130,0)</f>
        <v>0</v>
      </c>
      <c r="F8" s="8">
        <f>IFERROR('Jun 26'!K116+'Jun 26'!L116+'Jun 26'!M116+'Jun 26'!N116+'Jun 26'!O116+'Jun 26'!P116+'Jun 26'!Q116+'Jun 26'!R116+'Jun 26'!S116+'Jun 26'!T116+'Jun 26'!U116,0)</f>
        <v>0</v>
      </c>
      <c r="G8" s="8">
        <f>IFERROR('Jun 26'!AB116,0)</f>
        <v>0</v>
      </c>
      <c r="H8" s="9">
        <f>IFERROR('Jun 26'!H171,0)</f>
        <v>0</v>
      </c>
      <c r="I8" s="10">
        <f>IFERROR(SUMIF('Jun 26'!F5:'Jun 26'!F115,"Own",'Jun 26'!X5:'Jun 26'!X115),0)</f>
        <v>0</v>
      </c>
      <c r="J8" s="11">
        <f>IFERROR(SUMIF('Jun 26'!F5:'Jun 26'!F115,"Rented",'Jun 26'!X5:'Jun 26'!X115),0)</f>
        <v>0</v>
      </c>
      <c r="K8" s="12">
        <f>IFERROR('Jun 26'!H173,0)</f>
        <v>0</v>
      </c>
      <c r="L8" s="13">
        <f t="shared" si="0"/>
        <v>0</v>
      </c>
      <c r="M8" s="14">
        <f>IFERROR(SUM('Jun 26'!I5:'Jun 26'!I115),0)</f>
        <v>0</v>
      </c>
      <c r="N8" s="15">
        <f>IFERROR(COUNTA('Jun 26'!C5:'Jun 26'!C115),0)</f>
        <v>0</v>
      </c>
    </row>
    <row r="9" spans="1:14" ht="19.95" customHeight="1" x14ac:dyDescent="0.3">
      <c r="A9" s="16" t="s">
        <v>20</v>
      </c>
      <c r="B9" s="17">
        <f>IFERROR('Jul 26'!G116,0)</f>
        <v>0</v>
      </c>
      <c r="C9" s="17">
        <f>IFERROR('Jul 26'!H116,0)</f>
        <v>0</v>
      </c>
      <c r="D9" s="17">
        <f>IFERROR('Jul 26'!J116,0)</f>
        <v>0</v>
      </c>
      <c r="E9" s="7">
        <f>IFERROR('Jul 26'!H130,0)</f>
        <v>0</v>
      </c>
      <c r="F9" s="18">
        <f>IFERROR('Jul 26'!K116+'Jul 26'!L116+'Jul 26'!M116+'Jul 26'!N116+'Jul 26'!O116+'Jul 26'!P116+'Jul 26'!Q116+'Jul 26'!R116+'Jul 26'!S116+'Jul 26'!T116+'Jul 26'!U116,0)</f>
        <v>0</v>
      </c>
      <c r="G9" s="18">
        <f>IFERROR('Jul 26'!AB116,0)</f>
        <v>0</v>
      </c>
      <c r="H9" s="9">
        <f>IFERROR('Jul 26'!H171,0)</f>
        <v>0</v>
      </c>
      <c r="I9" s="10">
        <f>IFERROR(SUMIF('Jul 26'!F5:'Jul 26'!F115,"Own",'Jul 26'!X5:'Jul 26'!X115),0)</f>
        <v>0</v>
      </c>
      <c r="J9" s="11">
        <f>IFERROR(SUMIF('Jul 26'!F5:'Jul 26'!F115,"Rented",'Jul 26'!X5:'Jul 26'!X115),0)</f>
        <v>0</v>
      </c>
      <c r="K9" s="12">
        <f>IFERROR('Jul 26'!H173,0)</f>
        <v>0</v>
      </c>
      <c r="L9" s="19">
        <f t="shared" si="0"/>
        <v>0</v>
      </c>
      <c r="M9" s="14">
        <f>IFERROR(SUM('Jul 26'!I5:'Jul 26'!I115),0)</f>
        <v>0</v>
      </c>
      <c r="N9" s="20">
        <f>IFERROR(COUNTA('Jul 26'!C5:'Jul 26'!C115),0)</f>
        <v>0</v>
      </c>
    </row>
    <row r="10" spans="1:14" ht="19.95" customHeight="1" x14ac:dyDescent="0.3">
      <c r="A10" s="5" t="s">
        <v>21</v>
      </c>
      <c r="B10" s="6">
        <f>IFERROR('Aug 26'!G116,0)</f>
        <v>0</v>
      </c>
      <c r="C10" s="6">
        <f>IFERROR('Aug 26'!H116,0)</f>
        <v>0</v>
      </c>
      <c r="D10" s="6">
        <f>IFERROR('Aug 26'!J116,0)</f>
        <v>0</v>
      </c>
      <c r="E10" s="7">
        <f>IFERROR('Aug 26'!H130,0)</f>
        <v>0</v>
      </c>
      <c r="F10" s="8">
        <f>IFERROR('Aug 26'!K116+'Aug 26'!L116+'Aug 26'!M116+'Aug 26'!N116+'Aug 26'!O116+'Aug 26'!P116+'Aug 26'!Q116+'Aug 26'!R116+'Aug 26'!S116+'Aug 26'!T116+'Aug 26'!U116,0)</f>
        <v>0</v>
      </c>
      <c r="G10" s="8">
        <f>IFERROR('Aug 26'!AB116,0)</f>
        <v>0</v>
      </c>
      <c r="H10" s="9">
        <f>IFERROR('Aug 26'!H171,0)</f>
        <v>0</v>
      </c>
      <c r="I10" s="10">
        <f>IFERROR(SUMIF('Aug 26'!F5:'Aug 26'!F115,"Own",'Aug 26'!X5:'Aug 26'!X115),0)</f>
        <v>0</v>
      </c>
      <c r="J10" s="11">
        <f>IFERROR(SUMIF('Aug 26'!F5:'Aug 26'!F115,"Rented",'Aug 26'!X5:'Aug 26'!X115),0)</f>
        <v>0</v>
      </c>
      <c r="K10" s="12">
        <f>IFERROR('Aug 26'!H173,0)</f>
        <v>0</v>
      </c>
      <c r="L10" s="13">
        <f t="shared" si="0"/>
        <v>0</v>
      </c>
      <c r="M10" s="14">
        <f>IFERROR(SUM('Aug 26'!I5:'Aug 26'!I115),0)</f>
        <v>0</v>
      </c>
      <c r="N10" s="15">
        <f>IFERROR(COUNTA('Aug 26'!C5:'Aug 26'!C115),0)</f>
        <v>0</v>
      </c>
    </row>
    <row r="11" spans="1:14" ht="19.95" customHeight="1" x14ac:dyDescent="0.3">
      <c r="A11" s="16" t="s">
        <v>22</v>
      </c>
      <c r="B11" s="17">
        <f>IFERROR('Sep 26'!G116,0)</f>
        <v>0</v>
      </c>
      <c r="C11" s="17">
        <f>IFERROR('Sep 26'!H116,0)</f>
        <v>0</v>
      </c>
      <c r="D11" s="17">
        <f>IFERROR('Sep 26'!J116,0)</f>
        <v>0</v>
      </c>
      <c r="E11" s="7">
        <f>IFERROR('Sep 26'!H130,0)</f>
        <v>0</v>
      </c>
      <c r="F11" s="18">
        <f>IFERROR('Sep 26'!K116+'Sep 26'!L116+'Sep 26'!M116+'Sep 26'!N116+'Sep 26'!O116+'Sep 26'!P116+'Sep 26'!Q116+'Sep 26'!R116+'Sep 26'!S116+'Sep 26'!T116+'Sep 26'!U116,0)</f>
        <v>0</v>
      </c>
      <c r="G11" s="18">
        <f>IFERROR('Sep 26'!AB116,0)</f>
        <v>0</v>
      </c>
      <c r="H11" s="9">
        <f>IFERROR('Sep 26'!H171,0)</f>
        <v>0</v>
      </c>
      <c r="I11" s="10">
        <f>IFERROR(SUMIF('Sep 26'!F5:'Sep 26'!F115,"Own",'Sep 26'!X5:'Sep 26'!X115),0)</f>
        <v>0</v>
      </c>
      <c r="J11" s="11">
        <f>IFERROR(SUMIF('Sep 26'!F5:'Sep 26'!F115,"Rented",'Sep 26'!X5:'Sep 26'!X115),0)</f>
        <v>0</v>
      </c>
      <c r="K11" s="12">
        <f>IFERROR('Sep 26'!H173,0)</f>
        <v>0</v>
      </c>
      <c r="L11" s="19">
        <f t="shared" si="0"/>
        <v>0</v>
      </c>
      <c r="M11" s="14">
        <f>IFERROR(SUM('Sep 26'!I5:'Sep 26'!I115),0)</f>
        <v>0</v>
      </c>
      <c r="N11" s="20">
        <f>IFERROR(COUNTA('Sep 26'!C5:'Sep 26'!C115),0)</f>
        <v>0</v>
      </c>
    </row>
    <row r="12" spans="1:14" ht="19.95" customHeight="1" x14ac:dyDescent="0.3">
      <c r="A12" s="5" t="s">
        <v>23</v>
      </c>
      <c r="B12" s="6">
        <f>IFERROR('Oct 26'!G116,0)</f>
        <v>0</v>
      </c>
      <c r="C12" s="6">
        <f>IFERROR('Oct 26'!H116,0)</f>
        <v>0</v>
      </c>
      <c r="D12" s="6">
        <f>IFERROR('Oct 26'!J116,0)</f>
        <v>0</v>
      </c>
      <c r="E12" s="7">
        <f>IFERROR('Oct 26'!H130,0)</f>
        <v>0</v>
      </c>
      <c r="F12" s="8">
        <f>IFERROR('Oct 26'!K116+'Oct 26'!L116+'Oct 26'!M116+'Oct 26'!N116+'Oct 26'!O116+'Oct 26'!P116+'Oct 26'!Q116+'Oct 26'!R116+'Oct 26'!S116+'Oct 26'!T116+'Oct 26'!U116,0)</f>
        <v>0</v>
      </c>
      <c r="G12" s="8">
        <f>IFERROR('Oct 26'!AB116,0)</f>
        <v>0</v>
      </c>
      <c r="H12" s="9">
        <f>IFERROR('Oct 26'!H171,0)</f>
        <v>0</v>
      </c>
      <c r="I12" s="10">
        <f>IFERROR(SUMIF('Oct 26'!F5:'Oct 26'!F115,"Own",'Oct 26'!X5:'Oct 26'!X115),0)</f>
        <v>0</v>
      </c>
      <c r="J12" s="11">
        <f>IFERROR(SUMIF('Oct 26'!F5:'Oct 26'!F115,"Rented",'Oct 26'!X5:'Oct 26'!X115),0)</f>
        <v>0</v>
      </c>
      <c r="K12" s="12">
        <f>IFERROR('Oct 26'!H173,0)</f>
        <v>0</v>
      </c>
      <c r="L12" s="13">
        <f t="shared" si="0"/>
        <v>0</v>
      </c>
      <c r="M12" s="14">
        <f>IFERROR(SUM('Oct 26'!I5:'Oct 26'!I115),0)</f>
        <v>0</v>
      </c>
      <c r="N12" s="15">
        <f>IFERROR(COUNTA('Oct 26'!C5:'Oct 26'!C115),0)</f>
        <v>0</v>
      </c>
    </row>
    <row r="13" spans="1:14" ht="19.95" customHeight="1" x14ac:dyDescent="0.3">
      <c r="A13" s="16" t="s">
        <v>24</v>
      </c>
      <c r="B13" s="17">
        <f>IFERROR('Nov 26'!G116,0)</f>
        <v>0</v>
      </c>
      <c r="C13" s="17">
        <f>IFERROR('Nov 26'!H116,0)</f>
        <v>0</v>
      </c>
      <c r="D13" s="17">
        <f>IFERROR('Nov 26'!J116,0)</f>
        <v>0</v>
      </c>
      <c r="E13" s="7">
        <f>IFERROR('Nov 26'!H130,0)</f>
        <v>0</v>
      </c>
      <c r="F13" s="18">
        <f>IFERROR('Nov 26'!K116+'Nov 26'!L116+'Nov 26'!M116+'Nov 26'!N116+'Nov 26'!O116+'Nov 26'!P116+'Nov 26'!Q116+'Nov 26'!R116+'Nov 26'!S116+'Nov 26'!T116+'Nov 26'!U116,0)</f>
        <v>0</v>
      </c>
      <c r="G13" s="18">
        <f>IFERROR('Nov 26'!AB116,0)</f>
        <v>0</v>
      </c>
      <c r="H13" s="9">
        <f>IFERROR('Nov 26'!H171,0)</f>
        <v>0</v>
      </c>
      <c r="I13" s="10">
        <f>IFERROR(SUMIF('Nov 26'!F5:'Nov 26'!F115,"Own",'Nov 26'!X5:'Nov 26'!X115),0)</f>
        <v>0</v>
      </c>
      <c r="J13" s="11">
        <f>IFERROR(SUMIF('Nov 26'!F5:'Nov 26'!F115,"Rented",'Nov 26'!X5:'Nov 26'!X115),0)</f>
        <v>0</v>
      </c>
      <c r="K13" s="12">
        <f>IFERROR('Nov 26'!H173,0)</f>
        <v>0</v>
      </c>
      <c r="L13" s="19">
        <f t="shared" si="0"/>
        <v>0</v>
      </c>
      <c r="M13" s="14">
        <f>IFERROR(SUM('Nov 26'!I5:'Nov 26'!I115),0)</f>
        <v>0</v>
      </c>
      <c r="N13" s="20">
        <f>IFERROR(COUNTA('Nov 26'!C5:'Nov 26'!C115),0)</f>
        <v>0</v>
      </c>
    </row>
    <row r="14" spans="1:14" ht="19.95" customHeight="1" x14ac:dyDescent="0.3">
      <c r="A14" s="5" t="s">
        <v>25</v>
      </c>
      <c r="B14" s="6">
        <f>IFERROR('Dec 26'!G116,0)</f>
        <v>0</v>
      </c>
      <c r="C14" s="6">
        <f>IFERROR('Dec 26'!H116,0)</f>
        <v>0</v>
      </c>
      <c r="D14" s="6">
        <f>IFERROR('Dec 26'!J116,0)</f>
        <v>0</v>
      </c>
      <c r="E14" s="7">
        <f>IFERROR('Dec 26'!H130,0)</f>
        <v>0</v>
      </c>
      <c r="F14" s="8">
        <f>IFERROR('Dec 26'!K116+'Dec 26'!L116+'Dec 26'!M116+'Dec 26'!N116+'Dec 26'!O116+'Dec 26'!P116+'Dec 26'!Q116+'Dec 26'!R116+'Dec 26'!S116+'Dec 26'!T116+'Dec 26'!U116,0)</f>
        <v>0</v>
      </c>
      <c r="G14" s="8">
        <f>IFERROR('Dec 26'!AB116,0)</f>
        <v>0</v>
      </c>
      <c r="H14" s="9">
        <f>IFERROR('Dec 26'!H171,0)</f>
        <v>0</v>
      </c>
      <c r="I14" s="10">
        <f>IFERROR(SUMIF('Dec 26'!F5:'Dec 26'!F115,"Own",'Dec 26'!X5:'Dec 26'!X115),0)</f>
        <v>0</v>
      </c>
      <c r="J14" s="11">
        <f>IFERROR(SUMIF('Dec 26'!F5:'Dec 26'!F115,"Rented",'Dec 26'!X5:'Dec 26'!X115),0)</f>
        <v>0</v>
      </c>
      <c r="K14" s="12">
        <f>IFERROR('Dec 26'!H173,0)</f>
        <v>0</v>
      </c>
      <c r="L14" s="13">
        <f t="shared" si="0"/>
        <v>0</v>
      </c>
      <c r="M14" s="14">
        <f>IFERROR(SUM('Dec 26'!I5:'Dec 26'!I115),0)</f>
        <v>0</v>
      </c>
      <c r="N14" s="15">
        <f>IFERROR(COUNTA('Dec 26'!C5:'Dec 26'!C115),0)</f>
        <v>0</v>
      </c>
    </row>
    <row r="15" spans="1:14" ht="19.95" customHeight="1" x14ac:dyDescent="0.3">
      <c r="A15" s="16" t="s">
        <v>26</v>
      </c>
      <c r="B15" s="17">
        <f>IFERROR('Jan 27'!G116,0)</f>
        <v>0</v>
      </c>
      <c r="C15" s="17">
        <f>IFERROR('Jan 27'!H116,0)</f>
        <v>0</v>
      </c>
      <c r="D15" s="17">
        <f>IFERROR('Jan 27'!J116,0)</f>
        <v>0</v>
      </c>
      <c r="E15" s="7">
        <f>IFERROR('Jan 27'!H130,0)</f>
        <v>0</v>
      </c>
      <c r="F15" s="18">
        <f>IFERROR('Jan 27'!K116+'Jan 27'!L116+'Jan 27'!M116+'Jan 27'!N116+'Jan 27'!O116+'Jan 27'!P116+'Jan 27'!Q116+'Jan 27'!R116+'Jan 27'!S116+'Jan 27'!T116+'Jan 27'!U116,0)</f>
        <v>0</v>
      </c>
      <c r="G15" s="18">
        <f>IFERROR('Jan 27'!AB116,0)</f>
        <v>0</v>
      </c>
      <c r="H15" s="9">
        <f>IFERROR('Jan 27'!H171,0)</f>
        <v>0</v>
      </c>
      <c r="I15" s="10">
        <f>IFERROR(SUMIF('Jan 27'!F5:'Jan 27'!F115,"Own",'Jan 27'!X5:'Jan 27'!X115),0)</f>
        <v>0</v>
      </c>
      <c r="J15" s="11">
        <f>IFERROR(SUMIF('Jan 27'!F5:'Jan 27'!F115,"Rented",'Jan 27'!X5:'Jan 27'!X115),0)</f>
        <v>0</v>
      </c>
      <c r="K15" s="12">
        <f>IFERROR('Jan 27'!H173,0)</f>
        <v>0</v>
      </c>
      <c r="L15" s="19">
        <f t="shared" si="0"/>
        <v>0</v>
      </c>
      <c r="M15" s="14">
        <f>IFERROR(SUM('Jan 27'!I5:'Jan 27'!I115),0)</f>
        <v>0</v>
      </c>
      <c r="N15" s="20">
        <f>IFERROR(COUNTA('Jan 27'!C5:'Jan 27'!C115),0)</f>
        <v>0</v>
      </c>
    </row>
    <row r="16" spans="1:14" ht="19.95" customHeight="1" x14ac:dyDescent="0.3">
      <c r="A16" s="5" t="s">
        <v>27</v>
      </c>
      <c r="B16" s="6">
        <f>IFERROR('Feb 27'!G116,0)</f>
        <v>0</v>
      </c>
      <c r="C16" s="6">
        <f>IFERROR('Feb 27'!H116,0)</f>
        <v>0</v>
      </c>
      <c r="D16" s="6">
        <f>IFERROR('Feb 27'!J116,0)</f>
        <v>0</v>
      </c>
      <c r="E16" s="7">
        <f>IFERROR('Feb 27'!H130,0)</f>
        <v>0</v>
      </c>
      <c r="F16" s="8">
        <f>IFERROR('Feb 27'!K116+'Feb 27'!L116+'Feb 27'!M116+'Feb 27'!N116+'Feb 27'!O116+'Feb 27'!P116+'Feb 27'!Q116+'Feb 27'!R116+'Feb 27'!S116+'Feb 27'!T116+'Feb 27'!U116,0)</f>
        <v>0</v>
      </c>
      <c r="G16" s="8">
        <f>IFERROR('Feb 27'!AB116,0)</f>
        <v>0</v>
      </c>
      <c r="H16" s="9">
        <f>IFERROR('Feb 27'!H171,0)</f>
        <v>0</v>
      </c>
      <c r="I16" s="10">
        <f>IFERROR(SUMIF('Feb 27'!F5:'Feb 27'!F115,"Own",'Feb 27'!X5:'Feb 27'!X115),0)</f>
        <v>0</v>
      </c>
      <c r="J16" s="11">
        <f>IFERROR(SUMIF('Feb 27'!F5:'Feb 27'!F115,"Rented",'Feb 27'!X5:'Feb 27'!X115),0)</f>
        <v>0</v>
      </c>
      <c r="K16" s="12">
        <f>IFERROR('Feb 27'!H173,0)</f>
        <v>0</v>
      </c>
      <c r="L16" s="13">
        <f t="shared" si="0"/>
        <v>0</v>
      </c>
      <c r="M16" s="14">
        <f>IFERROR(SUM('Feb 27'!I5:'Feb 27'!I115),0)</f>
        <v>0</v>
      </c>
      <c r="N16" s="15">
        <f>IFERROR(COUNTA('Feb 27'!C5:'Feb 27'!C115),0)</f>
        <v>0</v>
      </c>
    </row>
    <row r="17" spans="1:14" ht="19.95" customHeight="1" x14ac:dyDescent="0.3">
      <c r="A17" s="16" t="s">
        <v>28</v>
      </c>
      <c r="B17" s="17">
        <f>IFERROR('Mar 27'!G116,0)</f>
        <v>0</v>
      </c>
      <c r="C17" s="17">
        <f>IFERROR('Mar 27'!H116,0)</f>
        <v>0</v>
      </c>
      <c r="D17" s="17">
        <f>IFERROR('Mar 27'!J116,0)</f>
        <v>0</v>
      </c>
      <c r="E17" s="7">
        <f>IFERROR('Mar 27'!H130,0)</f>
        <v>0</v>
      </c>
      <c r="F17" s="18">
        <f>IFERROR('Mar 27'!K116+'Mar 27'!L116+'Mar 27'!M116+'Mar 27'!N116+'Mar 27'!O116+'Mar 27'!P116+'Mar 27'!Q116+'Mar 27'!R116+'Mar 27'!S116+'Mar 27'!T116+'Mar 27'!U116,0)</f>
        <v>0</v>
      </c>
      <c r="G17" s="18">
        <f>IFERROR('Mar 27'!AB116,0)</f>
        <v>0</v>
      </c>
      <c r="H17" s="9">
        <f>IFERROR('Mar 27'!H171,0)</f>
        <v>0</v>
      </c>
      <c r="I17" s="10">
        <f>IFERROR(SUMIF('Mar 27'!F5:'Mar 27'!F115,"Own",'Mar 27'!X5:'Mar 27'!X115),0)</f>
        <v>0</v>
      </c>
      <c r="J17" s="11">
        <f>IFERROR(SUMIF('Mar 27'!F5:'Mar 27'!F115,"Rented",'Mar 27'!X5:'Mar 27'!X115),0)</f>
        <v>0</v>
      </c>
      <c r="K17" s="12">
        <f>IFERROR('Mar 27'!H173,0)</f>
        <v>0</v>
      </c>
      <c r="L17" s="19">
        <f t="shared" si="0"/>
        <v>0</v>
      </c>
      <c r="M17" s="14">
        <f>IFERROR(SUM('Mar 27'!I5:'Mar 27'!I115),0)</f>
        <v>0</v>
      </c>
      <c r="N17" s="20">
        <f>IFERROR(COUNTA('Mar 27'!C5:'Mar 27'!C115),0)</f>
        <v>0</v>
      </c>
    </row>
    <row r="18" spans="1:14" ht="25.95" customHeight="1" x14ac:dyDescent="0.3">
      <c r="A18" s="21" t="s">
        <v>29</v>
      </c>
      <c r="B18" s="22">
        <f t="shared" ref="B18:K18" si="1">SUM(B6:B17)</f>
        <v>18980</v>
      </c>
      <c r="C18" s="22">
        <f t="shared" si="1"/>
        <v>17825</v>
      </c>
      <c r="D18" s="22">
        <f t="shared" si="1"/>
        <v>0</v>
      </c>
      <c r="E18" s="22">
        <f t="shared" si="1"/>
        <v>36805</v>
      </c>
      <c r="F18" s="22">
        <f t="shared" si="1"/>
        <v>9550</v>
      </c>
      <c r="G18" s="22">
        <f t="shared" si="1"/>
        <v>0</v>
      </c>
      <c r="H18" s="22">
        <f t="shared" si="1"/>
        <v>9550</v>
      </c>
      <c r="I18" s="22">
        <f t="shared" si="1"/>
        <v>24895</v>
      </c>
      <c r="J18" s="22">
        <f t="shared" si="1"/>
        <v>1800</v>
      </c>
      <c r="K18" s="23">
        <f t="shared" si="1"/>
        <v>27255</v>
      </c>
      <c r="L18" s="24">
        <f t="shared" si="0"/>
        <v>0.74052438527373998</v>
      </c>
      <c r="M18" s="22">
        <f>SUM(M6:M17)</f>
        <v>150</v>
      </c>
      <c r="N18" s="25">
        <f>SUM(N6:N17)</f>
        <v>5</v>
      </c>
    </row>
  </sheetData>
  <mergeCells count="3">
    <mergeCell ref="A4:N4"/>
    <mergeCell ref="A3:N3"/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54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28" customWidth="1"/>
    <col min="3" max="3" width="22" customWidth="1"/>
    <col min="4" max="7" width="18" customWidth="1"/>
    <col min="8" max="9" width="22" customWidth="1"/>
    <col min="10" max="10" width="18" customWidth="1"/>
  </cols>
  <sheetData>
    <row r="2" spans="1:10" ht="37.950000000000003" customHeight="1" x14ac:dyDescent="0.3">
      <c r="A2" s="96" t="s">
        <v>30</v>
      </c>
      <c r="B2" s="94"/>
      <c r="C2" s="94"/>
      <c r="D2" s="94"/>
      <c r="E2" s="94"/>
      <c r="F2" s="94"/>
      <c r="G2" s="94"/>
      <c r="H2" s="94"/>
      <c r="I2" s="94"/>
      <c r="J2" s="94"/>
    </row>
    <row r="4" spans="1:10" ht="16.05" customHeight="1" x14ac:dyDescent="0.3">
      <c r="A4" s="95" t="s">
        <v>31</v>
      </c>
      <c r="B4" s="94"/>
      <c r="C4" s="94"/>
      <c r="D4" s="94"/>
      <c r="E4" s="94"/>
      <c r="F4" s="94"/>
      <c r="G4" s="94"/>
      <c r="H4" s="94"/>
      <c r="I4" s="94"/>
      <c r="J4" s="94"/>
    </row>
    <row r="6" spans="1:10" x14ac:dyDescent="0.3">
      <c r="A6" s="97" t="s">
        <v>32</v>
      </c>
      <c r="B6" s="94"/>
      <c r="C6" s="94"/>
      <c r="D6" s="94"/>
      <c r="E6" s="94"/>
      <c r="F6" s="94"/>
      <c r="G6" s="94"/>
      <c r="H6" s="94"/>
      <c r="I6" s="94"/>
      <c r="J6" s="94"/>
    </row>
    <row r="7" spans="1:10" x14ac:dyDescent="0.3">
      <c r="A7" s="26" t="s">
        <v>33</v>
      </c>
      <c r="B7" s="26" t="s">
        <v>34</v>
      </c>
      <c r="C7" s="26" t="s">
        <v>35</v>
      </c>
      <c r="D7" s="26" t="s">
        <v>36</v>
      </c>
      <c r="E7" s="26" t="s">
        <v>37</v>
      </c>
      <c r="F7" s="26" t="s">
        <v>38</v>
      </c>
      <c r="G7" s="26" t="s">
        <v>39</v>
      </c>
      <c r="H7" s="26" t="s">
        <v>40</v>
      </c>
      <c r="I7" s="26" t="s">
        <v>41</v>
      </c>
      <c r="J7" s="26" t="s">
        <v>42</v>
      </c>
    </row>
    <row r="8" spans="1:10" x14ac:dyDescent="0.3">
      <c r="A8" s="27">
        <v>1</v>
      </c>
      <c r="B8" s="27" t="s">
        <v>43</v>
      </c>
      <c r="C8" s="27" t="s">
        <v>44</v>
      </c>
      <c r="D8" s="27" t="s">
        <v>45</v>
      </c>
      <c r="E8" s="28">
        <v>3318</v>
      </c>
      <c r="F8" s="27"/>
      <c r="G8" s="27"/>
      <c r="H8" s="27"/>
      <c r="I8" s="27" t="s">
        <v>46</v>
      </c>
      <c r="J8" s="27"/>
    </row>
    <row r="9" spans="1:10" x14ac:dyDescent="0.3">
      <c r="A9" s="29">
        <v>2</v>
      </c>
      <c r="B9" s="29" t="s">
        <v>47</v>
      </c>
      <c r="C9" s="29" t="s">
        <v>44</v>
      </c>
      <c r="D9" s="29" t="s">
        <v>48</v>
      </c>
      <c r="E9" s="30">
        <v>15070</v>
      </c>
      <c r="F9" s="29"/>
      <c r="G9" s="29"/>
      <c r="H9" s="29"/>
      <c r="I9" s="29" t="s">
        <v>46</v>
      </c>
      <c r="J9" s="29"/>
    </row>
    <row r="10" spans="1:10" x14ac:dyDescent="0.3">
      <c r="A10" s="27">
        <v>3</v>
      </c>
      <c r="B10" s="27" t="s">
        <v>49</v>
      </c>
      <c r="C10" s="27" t="s">
        <v>44</v>
      </c>
      <c r="D10" s="27" t="s">
        <v>50</v>
      </c>
      <c r="E10" s="28">
        <v>16141</v>
      </c>
      <c r="F10" s="27"/>
      <c r="G10" s="27"/>
      <c r="H10" s="27"/>
      <c r="I10" s="27" t="s">
        <v>46</v>
      </c>
      <c r="J10" s="27"/>
    </row>
    <row r="11" spans="1:10" x14ac:dyDescent="0.3">
      <c r="A11" s="29">
        <v>4</v>
      </c>
      <c r="B11" s="29" t="s">
        <v>51</v>
      </c>
      <c r="C11" s="29" t="s">
        <v>44</v>
      </c>
      <c r="D11" s="29" t="s">
        <v>52</v>
      </c>
      <c r="E11" s="30">
        <v>15658</v>
      </c>
      <c r="F11" s="29"/>
      <c r="G11" s="29"/>
      <c r="H11" s="29"/>
      <c r="I11" s="29" t="s">
        <v>46</v>
      </c>
      <c r="J11" s="29"/>
    </row>
    <row r="12" spans="1:10" x14ac:dyDescent="0.3">
      <c r="A12" s="27">
        <v>5</v>
      </c>
      <c r="B12" s="27" t="s">
        <v>53</v>
      </c>
      <c r="C12" s="27" t="s">
        <v>44</v>
      </c>
      <c r="D12" s="27" t="s">
        <v>54</v>
      </c>
      <c r="E12" s="28">
        <v>8840</v>
      </c>
      <c r="F12" s="27"/>
      <c r="G12" s="27"/>
      <c r="H12" s="27"/>
      <c r="I12" s="27" t="s">
        <v>46</v>
      </c>
      <c r="J12" s="27"/>
    </row>
    <row r="13" spans="1:10" x14ac:dyDescent="0.3">
      <c r="A13" s="29">
        <v>6</v>
      </c>
      <c r="B13" s="29" t="s">
        <v>55</v>
      </c>
      <c r="C13" s="29" t="s">
        <v>44</v>
      </c>
      <c r="D13" s="29" t="s">
        <v>56</v>
      </c>
      <c r="E13" s="30">
        <v>15499</v>
      </c>
      <c r="F13" s="29"/>
      <c r="G13" s="29"/>
      <c r="H13" s="29"/>
      <c r="I13" s="29" t="s">
        <v>46</v>
      </c>
      <c r="J13" s="29"/>
    </row>
    <row r="15" spans="1:10" x14ac:dyDescent="0.3">
      <c r="A15" s="98" t="s">
        <v>57</v>
      </c>
      <c r="B15" s="94"/>
      <c r="C15" s="94"/>
      <c r="D15" s="94"/>
      <c r="E15" s="94"/>
      <c r="F15" s="94"/>
      <c r="G15" s="94"/>
      <c r="H15" s="94"/>
      <c r="I15" s="94"/>
      <c r="J15" s="94"/>
    </row>
    <row r="16" spans="1:10" x14ac:dyDescent="0.3">
      <c r="A16" s="31" t="s">
        <v>33</v>
      </c>
      <c r="B16" s="31" t="s">
        <v>34</v>
      </c>
      <c r="C16" s="31" t="s">
        <v>35</v>
      </c>
      <c r="D16" s="31" t="s">
        <v>58</v>
      </c>
      <c r="E16" s="31" t="s">
        <v>59</v>
      </c>
      <c r="F16" s="31" t="s">
        <v>60</v>
      </c>
      <c r="G16" s="31" t="s">
        <v>61</v>
      </c>
      <c r="H16" s="31" t="s">
        <v>62</v>
      </c>
      <c r="I16" s="31" t="s">
        <v>63</v>
      </c>
      <c r="J16" s="31" t="s">
        <v>42</v>
      </c>
    </row>
    <row r="17" spans="1:10" x14ac:dyDescent="0.3">
      <c r="A17" s="27">
        <v>1</v>
      </c>
      <c r="B17" s="27" t="s">
        <v>64</v>
      </c>
      <c r="C17" s="27" t="s">
        <v>65</v>
      </c>
      <c r="D17" s="27" t="s">
        <v>66</v>
      </c>
      <c r="E17" s="28"/>
      <c r="F17" s="32"/>
      <c r="G17" s="27"/>
      <c r="H17" s="27"/>
      <c r="I17" s="27" t="s">
        <v>67</v>
      </c>
      <c r="J17" s="27"/>
    </row>
    <row r="18" spans="1:10" x14ac:dyDescent="0.3">
      <c r="A18" s="33">
        <v>2</v>
      </c>
      <c r="B18" s="33" t="s">
        <v>68</v>
      </c>
      <c r="C18" s="33" t="s">
        <v>65</v>
      </c>
      <c r="D18" s="33" t="s">
        <v>69</v>
      </c>
      <c r="E18" s="34"/>
      <c r="F18" s="35"/>
      <c r="G18" s="33"/>
      <c r="H18" s="33"/>
      <c r="I18" s="33" t="s">
        <v>67</v>
      </c>
      <c r="J18" s="33"/>
    </row>
    <row r="19" spans="1:10" x14ac:dyDescent="0.3">
      <c r="A19" s="27">
        <v>3</v>
      </c>
      <c r="B19" s="27" t="s">
        <v>70</v>
      </c>
      <c r="C19" s="27" t="s">
        <v>65</v>
      </c>
      <c r="D19" s="27" t="s">
        <v>71</v>
      </c>
      <c r="E19" s="28"/>
      <c r="F19" s="32"/>
      <c r="G19" s="27"/>
      <c r="H19" s="27"/>
      <c r="I19" s="27" t="s">
        <v>67</v>
      </c>
      <c r="J19" s="27"/>
    </row>
    <row r="20" spans="1:10" x14ac:dyDescent="0.3">
      <c r="A20" s="33">
        <v>4</v>
      </c>
      <c r="B20" s="33" t="s">
        <v>72</v>
      </c>
      <c r="C20" s="33" t="s">
        <v>73</v>
      </c>
      <c r="D20" s="33" t="s">
        <v>74</v>
      </c>
      <c r="E20" s="34"/>
      <c r="F20" s="35"/>
      <c r="G20" s="33"/>
      <c r="H20" s="33"/>
      <c r="I20" s="33" t="s">
        <v>67</v>
      </c>
      <c r="J20" s="33"/>
    </row>
    <row r="22" spans="1:10" x14ac:dyDescent="0.3">
      <c r="A22" s="99" t="s">
        <v>75</v>
      </c>
      <c r="B22" s="94"/>
      <c r="C22" s="94"/>
      <c r="D22" s="94"/>
      <c r="E22" s="94"/>
    </row>
    <row r="23" spans="1:10" x14ac:dyDescent="0.3">
      <c r="A23" s="26" t="s">
        <v>76</v>
      </c>
      <c r="B23" s="26" t="s">
        <v>77</v>
      </c>
      <c r="C23" s="26" t="s">
        <v>78</v>
      </c>
      <c r="D23" s="26" t="s">
        <v>42</v>
      </c>
      <c r="E23" s="26"/>
    </row>
    <row r="24" spans="1:10" x14ac:dyDescent="0.3">
      <c r="A24" s="27" t="s">
        <v>45</v>
      </c>
      <c r="B24" s="27" t="s">
        <v>43</v>
      </c>
      <c r="C24" s="27">
        <v>600</v>
      </c>
      <c r="D24" s="27"/>
    </row>
    <row r="25" spans="1:10" x14ac:dyDescent="0.3">
      <c r="A25" s="29" t="s">
        <v>48</v>
      </c>
      <c r="B25" s="29" t="s">
        <v>47</v>
      </c>
      <c r="C25" s="29">
        <v>600</v>
      </c>
      <c r="D25" s="29"/>
    </row>
    <row r="26" spans="1:10" x14ac:dyDescent="0.3">
      <c r="A26" s="27" t="s">
        <v>50</v>
      </c>
      <c r="B26" s="27" t="s">
        <v>49</v>
      </c>
      <c r="C26" s="27">
        <v>600</v>
      </c>
      <c r="D26" s="27"/>
    </row>
    <row r="27" spans="1:10" x14ac:dyDescent="0.3">
      <c r="A27" s="29" t="s">
        <v>52</v>
      </c>
      <c r="B27" s="29" t="s">
        <v>51</v>
      </c>
      <c r="C27" s="29">
        <v>600</v>
      </c>
      <c r="D27" s="29"/>
    </row>
    <row r="28" spans="1:10" x14ac:dyDescent="0.3">
      <c r="A28" s="27" t="s">
        <v>54</v>
      </c>
      <c r="B28" s="27" t="s">
        <v>53</v>
      </c>
      <c r="C28" s="27">
        <v>600</v>
      </c>
      <c r="D28" s="27"/>
    </row>
    <row r="29" spans="1:10" x14ac:dyDescent="0.3">
      <c r="A29" s="29" t="s">
        <v>56</v>
      </c>
      <c r="B29" s="29" t="s">
        <v>55</v>
      </c>
      <c r="C29" s="29">
        <v>600</v>
      </c>
      <c r="D29" s="29"/>
    </row>
    <row r="31" spans="1:10" x14ac:dyDescent="0.3">
      <c r="A31" s="100" t="s">
        <v>79</v>
      </c>
      <c r="B31" s="94"/>
      <c r="C31" s="94"/>
      <c r="D31" s="94"/>
      <c r="E31" s="94"/>
    </row>
    <row r="32" spans="1:10" x14ac:dyDescent="0.3">
      <c r="A32" s="36">
        <v>1</v>
      </c>
      <c r="B32" s="37" t="s">
        <v>80</v>
      </c>
      <c r="C32" s="38" t="s">
        <v>81</v>
      </c>
    </row>
    <row r="33" spans="1:3" x14ac:dyDescent="0.3">
      <c r="A33" s="36">
        <v>2</v>
      </c>
      <c r="B33" s="39" t="s">
        <v>82</v>
      </c>
      <c r="C33" s="38" t="s">
        <v>81</v>
      </c>
    </row>
    <row r="34" spans="1:3" x14ac:dyDescent="0.3">
      <c r="A34" s="36">
        <v>3</v>
      </c>
      <c r="B34" s="37" t="s">
        <v>83</v>
      </c>
      <c r="C34" s="38" t="s">
        <v>81</v>
      </c>
    </row>
    <row r="35" spans="1:3" x14ac:dyDescent="0.3">
      <c r="A35" s="36">
        <v>4</v>
      </c>
      <c r="B35" s="39" t="s">
        <v>84</v>
      </c>
      <c r="C35" s="38" t="s">
        <v>81</v>
      </c>
    </row>
    <row r="36" spans="1:3" x14ac:dyDescent="0.3">
      <c r="A36" s="36">
        <v>5</v>
      </c>
      <c r="B36" s="37" t="s">
        <v>85</v>
      </c>
      <c r="C36" s="38" t="s">
        <v>81</v>
      </c>
    </row>
    <row r="37" spans="1:3" x14ac:dyDescent="0.3">
      <c r="A37" s="36">
        <v>6</v>
      </c>
      <c r="B37" s="39" t="s">
        <v>86</v>
      </c>
      <c r="C37" s="38" t="s">
        <v>81</v>
      </c>
    </row>
    <row r="38" spans="1:3" x14ac:dyDescent="0.3">
      <c r="A38" s="36">
        <v>7</v>
      </c>
      <c r="B38" s="37" t="s">
        <v>87</v>
      </c>
      <c r="C38" s="38" t="s">
        <v>81</v>
      </c>
    </row>
    <row r="39" spans="1:3" x14ac:dyDescent="0.3">
      <c r="A39" s="36">
        <v>8</v>
      </c>
      <c r="B39" s="39" t="s">
        <v>88</v>
      </c>
      <c r="C39" s="38" t="s">
        <v>81</v>
      </c>
    </row>
    <row r="40" spans="1:3" x14ac:dyDescent="0.3">
      <c r="A40" s="36">
        <v>9</v>
      </c>
      <c r="B40" s="37" t="s">
        <v>89</v>
      </c>
      <c r="C40" s="38" t="s">
        <v>81</v>
      </c>
    </row>
    <row r="41" spans="1:3" x14ac:dyDescent="0.3">
      <c r="A41" s="36">
        <v>10</v>
      </c>
      <c r="B41" s="39" t="s">
        <v>90</v>
      </c>
      <c r="C41" s="38" t="s">
        <v>81</v>
      </c>
    </row>
    <row r="42" spans="1:3" x14ac:dyDescent="0.3">
      <c r="A42" s="36">
        <v>11</v>
      </c>
      <c r="B42" s="37" t="s">
        <v>91</v>
      </c>
      <c r="C42" s="38" t="s">
        <v>81</v>
      </c>
    </row>
    <row r="43" spans="1:3" x14ac:dyDescent="0.3">
      <c r="A43" s="36">
        <v>12</v>
      </c>
      <c r="B43" s="39" t="s">
        <v>92</v>
      </c>
      <c r="C43" s="38" t="s">
        <v>81</v>
      </c>
    </row>
    <row r="44" spans="1:3" x14ac:dyDescent="0.3">
      <c r="A44" s="36">
        <v>13</v>
      </c>
      <c r="B44" s="37" t="s">
        <v>93</v>
      </c>
      <c r="C44" s="38" t="s">
        <v>81</v>
      </c>
    </row>
    <row r="45" spans="1:3" x14ac:dyDescent="0.3">
      <c r="A45" s="36">
        <v>14</v>
      </c>
      <c r="B45" s="39" t="s">
        <v>94</v>
      </c>
      <c r="C45" s="38" t="s">
        <v>81</v>
      </c>
    </row>
    <row r="46" spans="1:3" x14ac:dyDescent="0.3">
      <c r="A46" s="36">
        <v>15</v>
      </c>
      <c r="B46" s="37" t="s">
        <v>95</v>
      </c>
      <c r="C46" s="38" t="s">
        <v>81</v>
      </c>
    </row>
    <row r="47" spans="1:3" x14ac:dyDescent="0.3">
      <c r="A47" s="36">
        <v>16</v>
      </c>
      <c r="B47" s="39" t="s">
        <v>96</v>
      </c>
      <c r="C47" s="38" t="s">
        <v>81</v>
      </c>
    </row>
    <row r="48" spans="1:3" x14ac:dyDescent="0.3">
      <c r="A48" s="36">
        <v>17</v>
      </c>
      <c r="B48" s="37" t="s">
        <v>97</v>
      </c>
      <c r="C48" s="38" t="s">
        <v>81</v>
      </c>
    </row>
    <row r="49" spans="1:3" x14ac:dyDescent="0.3">
      <c r="A49" s="36">
        <v>18</v>
      </c>
      <c r="B49" s="39" t="s">
        <v>98</v>
      </c>
      <c r="C49" s="38" t="s">
        <v>81</v>
      </c>
    </row>
    <row r="50" spans="1:3" x14ac:dyDescent="0.3">
      <c r="A50" s="36">
        <v>19</v>
      </c>
      <c r="B50" s="37" t="s">
        <v>99</v>
      </c>
      <c r="C50" s="38" t="s">
        <v>81</v>
      </c>
    </row>
    <row r="51" spans="1:3" x14ac:dyDescent="0.3">
      <c r="A51" s="36">
        <v>20</v>
      </c>
      <c r="B51" s="39" t="s">
        <v>100</v>
      </c>
      <c r="C51" s="38" t="s">
        <v>81</v>
      </c>
    </row>
    <row r="52" spans="1:3" x14ac:dyDescent="0.3">
      <c r="A52" s="36">
        <v>21</v>
      </c>
      <c r="B52" s="37" t="s">
        <v>101</v>
      </c>
      <c r="C52" s="38" t="s">
        <v>81</v>
      </c>
    </row>
    <row r="53" spans="1:3" x14ac:dyDescent="0.3">
      <c r="A53" s="36">
        <v>22</v>
      </c>
      <c r="B53" s="39" t="s">
        <v>102</v>
      </c>
      <c r="C53" s="38" t="s">
        <v>81</v>
      </c>
    </row>
    <row r="54" spans="1:3" x14ac:dyDescent="0.3">
      <c r="A54" s="36">
        <v>23</v>
      </c>
      <c r="B54" s="37" t="s">
        <v>103</v>
      </c>
      <c r="C54" s="38" t="s">
        <v>81</v>
      </c>
    </row>
  </sheetData>
  <mergeCells count="6">
    <mergeCell ref="A31:E31"/>
    <mergeCell ref="A6:J6"/>
    <mergeCell ref="A15:J15"/>
    <mergeCell ref="A4:J4"/>
    <mergeCell ref="A2:J2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79"/>
  <sheetViews>
    <sheetView showGridLines="0" tabSelected="1" zoomScale="166" zoomScaleNormal="157" workbookViewId="0">
      <pane xSplit="2" ySplit="4" topLeftCell="F5" activePane="bottomRight" state="frozen"/>
      <selection pane="topRight"/>
      <selection pane="bottomLeft"/>
      <selection pane="bottomRight" activeCell="M9" sqref="M9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104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>
        <v>46113</v>
      </c>
      <c r="C5" s="15">
        <v>2</v>
      </c>
      <c r="D5" s="15">
        <v>1288</v>
      </c>
      <c r="E5" s="15" t="s">
        <v>216</v>
      </c>
      <c r="F5" s="44" t="s">
        <v>217</v>
      </c>
      <c r="G5" s="6">
        <v>3400</v>
      </c>
      <c r="H5" s="6">
        <f>1200+660+24*60+2530</f>
        <v>5830</v>
      </c>
      <c r="I5" s="45"/>
      <c r="J5" s="6"/>
      <c r="K5" s="8">
        <v>600</v>
      </c>
      <c r="L5" s="8">
        <v>150</v>
      </c>
      <c r="M5" s="8">
        <v>2930</v>
      </c>
      <c r="N5" s="8"/>
      <c r="O5" s="8"/>
      <c r="P5" s="8"/>
      <c r="Q5" s="8"/>
      <c r="R5" s="8"/>
      <c r="S5" s="8"/>
      <c r="T5" s="8"/>
      <c r="U5" s="8"/>
      <c r="V5" s="46">
        <f t="shared" ref="V5:V36" si="0">IF(F5="Own",IFERROR(IFERROR(G5,0)+IFERROR(H5,0)+IFERROR(J5,0),0),IF(F5="Rented",IFERROR(IFERROR(H5,0)+IFERROR(N5,0),0),""))</f>
        <v>9230</v>
      </c>
      <c r="W5" s="47">
        <f t="shared" ref="W5:W36" si="1">IF(F5="Own",IFERROR(IFERROR(K5,0)+IFERROR(L5,0)+IFERROR(M5,0)+IFERROR(N5,0)+IFERROR(O5,0)+IFERROR(P5,0)+IFERROR(Q5,0)+IFERROR(R5,0)+IFERROR(S5,0)+IFERROR(T5,0)+IFERROR(U5,0),0),IF(F5="Rented",0,""))</f>
        <v>3680</v>
      </c>
      <c r="X5" s="48">
        <f t="shared" ref="X5:X36" si="2">IF(F5="Own",IFERROR(V5-W5,0),IF(F5="Rented",IFERROR(V5,0),""))</f>
        <v>5550</v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43">
        <v>46113</v>
      </c>
      <c r="C6" s="54">
        <v>1</v>
      </c>
      <c r="D6" s="54">
        <v>467</v>
      </c>
      <c r="E6" s="54" t="s">
        <v>218</v>
      </c>
      <c r="F6" s="44" t="s">
        <v>217</v>
      </c>
      <c r="G6" s="17">
        <v>3450</v>
      </c>
      <c r="H6" s="17">
        <f>885+60*70+80+1100</f>
        <v>6265</v>
      </c>
      <c r="I6" s="45">
        <v>150</v>
      </c>
      <c r="J6" s="17"/>
      <c r="K6" s="18">
        <v>800</v>
      </c>
      <c r="L6" s="18">
        <v>150</v>
      </c>
      <c r="M6" s="18">
        <v>1700</v>
      </c>
      <c r="N6" s="18"/>
      <c r="O6" s="18"/>
      <c r="P6" s="18"/>
      <c r="Q6" s="18"/>
      <c r="R6" s="18"/>
      <c r="S6" s="18"/>
      <c r="T6" s="18"/>
      <c r="U6" s="18"/>
      <c r="V6" s="55">
        <f t="shared" si="0"/>
        <v>9715</v>
      </c>
      <c r="W6" s="56">
        <f t="shared" si="1"/>
        <v>2650</v>
      </c>
      <c r="X6" s="57">
        <f t="shared" si="2"/>
        <v>7065</v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>
        <v>3</v>
      </c>
      <c r="D7" s="15">
        <v>1785</v>
      </c>
      <c r="E7" s="15" t="s">
        <v>219</v>
      </c>
      <c r="F7" s="44" t="s">
        <v>220</v>
      </c>
      <c r="G7" s="6"/>
      <c r="H7" s="6">
        <v>2080</v>
      </c>
      <c r="I7" s="45"/>
      <c r="J7" s="6"/>
      <c r="K7" s="8"/>
      <c r="L7" s="8"/>
      <c r="M7" s="8"/>
      <c r="N7" s="8">
        <v>-280</v>
      </c>
      <c r="O7" s="8"/>
      <c r="P7" s="8"/>
      <c r="Q7" s="8"/>
      <c r="R7" s="8"/>
      <c r="S7" s="8"/>
      <c r="T7" s="8"/>
      <c r="U7" s="8"/>
      <c r="V7" s="46">
        <f t="shared" si="0"/>
        <v>1800</v>
      </c>
      <c r="W7" s="47">
        <f t="shared" si="1"/>
        <v>0</v>
      </c>
      <c r="X7" s="48">
        <f t="shared" si="2"/>
        <v>1800</v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>
        <v>4</v>
      </c>
      <c r="D8" s="54">
        <v>6421</v>
      </c>
      <c r="E8" s="54" t="s">
        <v>221</v>
      </c>
      <c r="F8" s="44" t="s">
        <v>217</v>
      </c>
      <c r="G8" s="17">
        <v>7560</v>
      </c>
      <c r="H8" s="17">
        <v>1010</v>
      </c>
      <c r="I8" s="45"/>
      <c r="J8" s="17"/>
      <c r="K8" s="18">
        <v>600</v>
      </c>
      <c r="L8" s="18"/>
      <c r="M8" s="18">
        <v>2300</v>
      </c>
      <c r="N8" s="18"/>
      <c r="O8" s="18"/>
      <c r="P8" s="18"/>
      <c r="Q8" s="18"/>
      <c r="R8" s="18"/>
      <c r="S8" s="18"/>
      <c r="T8" s="18"/>
      <c r="U8" s="18"/>
      <c r="V8" s="55">
        <f t="shared" si="0"/>
        <v>8570</v>
      </c>
      <c r="W8" s="56">
        <f t="shared" si="1"/>
        <v>2900</v>
      </c>
      <c r="X8" s="57">
        <f t="shared" si="2"/>
        <v>5670</v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>
        <v>5</v>
      </c>
      <c r="D9" s="15">
        <v>8660</v>
      </c>
      <c r="E9" s="15" t="s">
        <v>222</v>
      </c>
      <c r="F9" s="44" t="s">
        <v>217</v>
      </c>
      <c r="G9" s="6">
        <v>4570</v>
      </c>
      <c r="H9" s="6">
        <f>14*50+250+1690</f>
        <v>2640</v>
      </c>
      <c r="I9" s="45"/>
      <c r="J9" s="6"/>
      <c r="K9" s="8">
        <v>600</v>
      </c>
      <c r="L9" s="8"/>
      <c r="M9" s="8"/>
      <c r="N9" s="8"/>
      <c r="O9" s="8"/>
      <c r="P9" s="8"/>
      <c r="Q9" s="8"/>
      <c r="R9" s="8"/>
      <c r="S9" s="8"/>
      <c r="T9" s="8"/>
      <c r="U9" s="8"/>
      <c r="V9" s="46">
        <f t="shared" si="0"/>
        <v>7210</v>
      </c>
      <c r="W9" s="47">
        <f t="shared" si="1"/>
        <v>600</v>
      </c>
      <c r="X9" s="48">
        <f t="shared" si="2"/>
        <v>6610</v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18980</v>
      </c>
      <c r="H116" s="61">
        <f t="shared" si="12"/>
        <v>17825</v>
      </c>
      <c r="I116" s="62">
        <f t="shared" si="12"/>
        <v>150</v>
      </c>
      <c r="J116" s="61">
        <f t="shared" si="12"/>
        <v>0</v>
      </c>
      <c r="K116" s="62">
        <f t="shared" si="12"/>
        <v>2600</v>
      </c>
      <c r="L116" s="62">
        <f t="shared" si="12"/>
        <v>300</v>
      </c>
      <c r="M116" s="62">
        <f t="shared" si="12"/>
        <v>6930</v>
      </c>
      <c r="N116" s="62">
        <f t="shared" si="12"/>
        <v>-280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36525</v>
      </c>
      <c r="W116" s="63">
        <f t="shared" si="12"/>
        <v>9830</v>
      </c>
      <c r="X116" s="63">
        <f t="shared" si="12"/>
        <v>26695</v>
      </c>
      <c r="Y116" s="64" t="str">
        <f>COUNTA(C5:C115)&amp;" trips"</f>
        <v>5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18980</v>
      </c>
      <c r="D120" s="69">
        <f>IFERROR(SUMIF(F5:F115,"Own",H5:H115),0)</f>
        <v>15745</v>
      </c>
      <c r="E120" s="69">
        <f>IFERROR(SUMIF(F5:F115,"Own",J5:J115),0)</f>
        <v>0</v>
      </c>
      <c r="F120" s="70">
        <f>IFERROR(SUMIF(F5:F115,"Own",I5:I115),0)</f>
        <v>150</v>
      </c>
      <c r="G120" s="69">
        <f>IFERROR(SUMIF(F5:F115,"Own",W5:W115),0)</f>
        <v>9830</v>
      </c>
      <c r="H120" s="71">
        <f>IFERROR(SUMIF(F5:F115,"Own",X5:X115),0)</f>
        <v>24895</v>
      </c>
      <c r="I120" s="31">
        <f>IFERROR(COUNTIF(F5:F115,"Own"),0)</f>
        <v>4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2080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1800</v>
      </c>
      <c r="I121" s="77">
        <f>IFERROR(COUNTIF(F5:F115,"Rented"),0)</f>
        <v>1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18980</v>
      </c>
      <c r="D122" s="22">
        <f t="shared" si="13"/>
        <v>17825</v>
      </c>
      <c r="E122" s="22">
        <f t="shared" si="13"/>
        <v>0</v>
      </c>
      <c r="F122" s="22">
        <f t="shared" si="13"/>
        <v>150</v>
      </c>
      <c r="G122" s="22">
        <f t="shared" si="13"/>
        <v>9830</v>
      </c>
      <c r="H122" s="23">
        <f t="shared" si="13"/>
        <v>26695</v>
      </c>
      <c r="I122" s="79">
        <f t="shared" si="13"/>
        <v>5</v>
      </c>
    </row>
    <row r="124" spans="1:28" ht="22.05" customHeight="1" x14ac:dyDescent="0.3">
      <c r="A124" s="119" t="s">
        <v>143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18980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17825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36805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2600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300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6930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-280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9550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9550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27255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24895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1800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150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200-000000000000}">
      <formula1>"Own,Rented"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186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187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300-000000000000}">
      <formula1>"Own,Rented"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188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189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400-000000000000}">
      <formula1>"Own,Rented"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190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191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500-000000000000}">
      <formula1>"Own,Rented"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192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193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600-000000000000}">
      <formula1>"Own,Rented"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194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195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700-000000000000}">
      <formula1>"Own,Rented"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196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197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800-000000000000}">
      <formula1>"Own,Rented"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198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199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900-000000000000}">
      <formula1>"Own,Rented"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200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201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A00-000000000000}">
      <formula1>"Own,Rented"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202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203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B00-000000000000}">
      <formula1>"Own,Rented"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204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205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C00-000000000000}">
      <formula1>"Own,Rented"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7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1" customWidth="1"/>
    <col min="3" max="3" width="10" customWidth="1"/>
    <col min="4" max="4" width="14" customWidth="1"/>
    <col min="5" max="5" width="13" customWidth="1"/>
    <col min="6" max="6" width="10" customWidth="1"/>
    <col min="7" max="9" width="14" customWidth="1"/>
    <col min="10" max="10" width="12" customWidth="1"/>
    <col min="11" max="12" width="10" customWidth="1"/>
    <col min="13" max="14" width="12" customWidth="1"/>
    <col min="15" max="16" width="11" customWidth="1"/>
    <col min="17" max="17" width="13" customWidth="1"/>
    <col min="18" max="21" width="10" customWidth="1"/>
    <col min="22" max="24" width="14" customWidth="1"/>
    <col min="25" max="25" width="30" customWidth="1"/>
    <col min="26" max="26" width="3" customWidth="1"/>
    <col min="27" max="27" width="26" customWidth="1"/>
    <col min="28" max="28" width="14" customWidth="1"/>
    <col min="29" max="29" width="11" customWidth="1"/>
    <col min="30" max="30" width="34" customWidth="1"/>
  </cols>
  <sheetData>
    <row r="1" spans="1:30" ht="6" customHeight="1" x14ac:dyDescent="0.3"/>
    <row r="2" spans="1:30" ht="36" customHeight="1" x14ac:dyDescent="0.3">
      <c r="A2" s="125" t="s">
        <v>206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spans="1:30" ht="18" customHeight="1" x14ac:dyDescent="0.3">
      <c r="A3" s="117" t="s">
        <v>105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103" t="s">
        <v>106</v>
      </c>
      <c r="P3" s="94"/>
      <c r="Q3" s="94"/>
      <c r="R3" s="94"/>
      <c r="S3" s="94"/>
      <c r="T3" s="94"/>
      <c r="U3" s="94"/>
      <c r="V3" s="94"/>
      <c r="W3" s="94"/>
      <c r="X3" s="94"/>
      <c r="Y3" s="94"/>
      <c r="AA3" s="103" t="s">
        <v>107</v>
      </c>
      <c r="AB3" s="94"/>
      <c r="AC3" s="94"/>
      <c r="AD3" s="94"/>
    </row>
    <row r="4" spans="1:30" ht="43.95" customHeight="1" x14ac:dyDescent="0.3">
      <c r="A4" s="1" t="s">
        <v>108</v>
      </c>
      <c r="B4" s="1" t="s">
        <v>109</v>
      </c>
      <c r="C4" s="1" t="s">
        <v>110</v>
      </c>
      <c r="D4" s="1" t="s">
        <v>34</v>
      </c>
      <c r="E4" s="1" t="s">
        <v>76</v>
      </c>
      <c r="F4" s="1" t="s">
        <v>111</v>
      </c>
      <c r="G4" s="2" t="s">
        <v>112</v>
      </c>
      <c r="H4" s="2" t="s">
        <v>113</v>
      </c>
      <c r="I4" s="2" t="s">
        <v>114</v>
      </c>
      <c r="J4" s="2" t="s">
        <v>115</v>
      </c>
      <c r="K4" s="3" t="s">
        <v>116</v>
      </c>
      <c r="L4" s="3" t="s">
        <v>117</v>
      </c>
      <c r="M4" s="3" t="s">
        <v>118</v>
      </c>
      <c r="N4" s="3" t="s">
        <v>119</v>
      </c>
      <c r="O4" s="3" t="s">
        <v>120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40" t="s">
        <v>127</v>
      </c>
      <c r="W4" s="40" t="s">
        <v>128</v>
      </c>
      <c r="X4" s="40" t="s">
        <v>129</v>
      </c>
      <c r="Y4" s="1" t="s">
        <v>130</v>
      </c>
      <c r="Z4" s="41"/>
      <c r="AA4" s="42" t="s">
        <v>131</v>
      </c>
      <c r="AB4" s="42" t="s">
        <v>132</v>
      </c>
      <c r="AC4" s="42" t="s">
        <v>109</v>
      </c>
      <c r="AD4" s="42" t="s">
        <v>133</v>
      </c>
    </row>
    <row r="5" spans="1:30" ht="19.05" customHeight="1" x14ac:dyDescent="0.3">
      <c r="A5" s="36">
        <v>1</v>
      </c>
      <c r="B5" s="43"/>
      <c r="C5" s="15"/>
      <c r="D5" s="15"/>
      <c r="E5" s="15"/>
      <c r="F5" s="44"/>
      <c r="G5" s="6"/>
      <c r="H5" s="6"/>
      <c r="I5" s="45"/>
      <c r="J5" s="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46" t="str">
        <f t="shared" ref="V5:V36" si="0">IF(F5="Own",IFERROR(IFERROR(G5,0)+IFERROR(H5,0)+IFERROR(J5,0),0),IF(F5="Rented",IFERROR(IFERROR(H5,0)+IFERROR(N5,0),0),""))</f>
        <v/>
      </c>
      <c r="W5" s="47" t="str">
        <f t="shared" ref="W5:W36" si="1">IF(F5="Own",IFERROR(IFERROR(K5,0)+IFERROR(L5,0)+IFERROR(M5,0)+IFERROR(N5,0)+IFERROR(O5,0)+IFERROR(P5,0)+IFERROR(Q5,0)+IFERROR(R5,0)+IFERROR(S5,0)+IFERROR(T5,0)+IFERROR(U5,0),0),IF(F5="Rented",0,""))</f>
        <v/>
      </c>
      <c r="X5" s="48" t="str">
        <f t="shared" ref="X5:X36" si="2">IF(F5="Own",IFERROR(V5-W5,0),IF(F5="Rented",IFERROR(V5,0),""))</f>
        <v/>
      </c>
      <c r="Y5" s="49"/>
      <c r="Z5" s="50"/>
      <c r="AA5" s="37" t="str">
        <f>Settings!B32</f>
        <v>Diesel MLP / Bulk</v>
      </c>
      <c r="AB5" s="51"/>
      <c r="AC5" s="52"/>
      <c r="AD5" s="49"/>
    </row>
    <row r="6" spans="1:30" ht="19.05" customHeight="1" x14ac:dyDescent="0.3">
      <c r="A6" s="36">
        <v>2</v>
      </c>
      <c r="B6" s="53"/>
      <c r="C6" s="54"/>
      <c r="D6" s="54"/>
      <c r="E6" s="54"/>
      <c r="F6" s="44"/>
      <c r="G6" s="17"/>
      <c r="H6" s="17"/>
      <c r="I6" s="4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55" t="str">
        <f t="shared" si="0"/>
        <v/>
      </c>
      <c r="W6" s="56" t="str">
        <f t="shared" si="1"/>
        <v/>
      </c>
      <c r="X6" s="57" t="str">
        <f t="shared" si="2"/>
        <v/>
      </c>
      <c r="Y6" s="49"/>
      <c r="Z6" s="50"/>
      <c r="AA6" s="39" t="str">
        <f>Settings!B33</f>
        <v>Driver Salaries</v>
      </c>
      <c r="AB6" s="58"/>
      <c r="AC6" s="59"/>
      <c r="AD6" s="49"/>
    </row>
    <row r="7" spans="1:30" ht="19.05" customHeight="1" x14ac:dyDescent="0.3">
      <c r="A7" s="36">
        <v>3</v>
      </c>
      <c r="B7" s="43"/>
      <c r="C7" s="15"/>
      <c r="D7" s="15"/>
      <c r="E7" s="15"/>
      <c r="F7" s="44"/>
      <c r="G7" s="6"/>
      <c r="H7" s="6"/>
      <c r="I7" s="45"/>
      <c r="J7" s="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46" t="str">
        <f t="shared" si="0"/>
        <v/>
      </c>
      <c r="W7" s="47" t="str">
        <f t="shared" si="1"/>
        <v/>
      </c>
      <c r="X7" s="48" t="str">
        <f t="shared" si="2"/>
        <v/>
      </c>
      <c r="Y7" s="49"/>
      <c r="Z7" s="50"/>
      <c r="AA7" s="37" t="str">
        <f>Settings!B34</f>
        <v>Vehicle EMI - 7195</v>
      </c>
      <c r="AB7" s="51"/>
      <c r="AC7" s="52"/>
      <c r="AD7" s="49"/>
    </row>
    <row r="8" spans="1:30" ht="19.05" customHeight="1" x14ac:dyDescent="0.3">
      <c r="A8" s="36">
        <v>4</v>
      </c>
      <c r="B8" s="53"/>
      <c r="C8" s="54"/>
      <c r="D8" s="54"/>
      <c r="E8" s="54"/>
      <c r="F8" s="44"/>
      <c r="G8" s="17"/>
      <c r="H8" s="17"/>
      <c r="I8" s="45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55" t="str">
        <f t="shared" si="0"/>
        <v/>
      </c>
      <c r="W8" s="56" t="str">
        <f t="shared" si="1"/>
        <v/>
      </c>
      <c r="X8" s="57" t="str">
        <f t="shared" si="2"/>
        <v/>
      </c>
      <c r="Y8" s="49"/>
      <c r="Z8" s="50"/>
      <c r="AA8" s="39" t="str">
        <f>Settings!B35</f>
        <v>Vehicle EMI - 4608</v>
      </c>
      <c r="AB8" s="58"/>
      <c r="AC8" s="59"/>
      <c r="AD8" s="49"/>
    </row>
    <row r="9" spans="1:30" ht="19.05" customHeight="1" x14ac:dyDescent="0.3">
      <c r="A9" s="36">
        <v>5</v>
      </c>
      <c r="B9" s="43"/>
      <c r="C9" s="15"/>
      <c r="D9" s="15"/>
      <c r="E9" s="15"/>
      <c r="F9" s="44"/>
      <c r="G9" s="6"/>
      <c r="H9" s="6"/>
      <c r="I9" s="45"/>
      <c r="J9" s="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6" t="str">
        <f t="shared" si="0"/>
        <v/>
      </c>
      <c r="W9" s="47" t="str">
        <f t="shared" si="1"/>
        <v/>
      </c>
      <c r="X9" s="48" t="str">
        <f t="shared" si="2"/>
        <v/>
      </c>
      <c r="Y9" s="49"/>
      <c r="Z9" s="50"/>
      <c r="AA9" s="37" t="str">
        <f>Settings!B36</f>
        <v>Vehicle EMI - 6421</v>
      </c>
      <c r="AB9" s="51"/>
      <c r="AC9" s="52"/>
      <c r="AD9" s="49"/>
    </row>
    <row r="10" spans="1:30" ht="19.05" customHeight="1" x14ac:dyDescent="0.3">
      <c r="A10" s="36">
        <v>6</v>
      </c>
      <c r="B10" s="53"/>
      <c r="C10" s="54"/>
      <c r="D10" s="54"/>
      <c r="E10" s="54"/>
      <c r="F10" s="44"/>
      <c r="G10" s="17"/>
      <c r="H10" s="17"/>
      <c r="I10" s="45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55" t="str">
        <f t="shared" si="0"/>
        <v/>
      </c>
      <c r="W10" s="56" t="str">
        <f t="shared" si="1"/>
        <v/>
      </c>
      <c r="X10" s="57" t="str">
        <f t="shared" si="2"/>
        <v/>
      </c>
      <c r="Y10" s="49"/>
      <c r="Z10" s="50"/>
      <c r="AA10" s="39" t="str">
        <f>Settings!B37</f>
        <v>Vehicle EMI - 8660</v>
      </c>
      <c r="AB10" s="58"/>
      <c r="AC10" s="59"/>
      <c r="AD10" s="49"/>
    </row>
    <row r="11" spans="1:30" ht="19.05" customHeight="1" x14ac:dyDescent="0.3">
      <c r="A11" s="36">
        <v>7</v>
      </c>
      <c r="B11" s="43"/>
      <c r="C11" s="15"/>
      <c r="D11" s="15"/>
      <c r="E11" s="15"/>
      <c r="F11" s="44"/>
      <c r="G11" s="6"/>
      <c r="H11" s="6"/>
      <c r="I11" s="45"/>
      <c r="J11" s="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46" t="str">
        <f t="shared" si="0"/>
        <v/>
      </c>
      <c r="W11" s="47" t="str">
        <f t="shared" si="1"/>
        <v/>
      </c>
      <c r="X11" s="48" t="str">
        <f t="shared" si="2"/>
        <v/>
      </c>
      <c r="Y11" s="49"/>
      <c r="Z11" s="50"/>
      <c r="AA11" s="37" t="str">
        <f>Settings!B38</f>
        <v>Vehicle EMI - 1288</v>
      </c>
      <c r="AB11" s="51"/>
      <c r="AC11" s="52"/>
      <c r="AD11" s="49"/>
    </row>
    <row r="12" spans="1:30" ht="19.05" customHeight="1" x14ac:dyDescent="0.3">
      <c r="A12" s="36">
        <v>8</v>
      </c>
      <c r="B12" s="53"/>
      <c r="C12" s="54"/>
      <c r="D12" s="54"/>
      <c r="E12" s="54"/>
      <c r="F12" s="44"/>
      <c r="G12" s="17"/>
      <c r="H12" s="17"/>
      <c r="I12" s="45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55" t="str">
        <f t="shared" si="0"/>
        <v/>
      </c>
      <c r="W12" s="56" t="str">
        <f t="shared" si="1"/>
        <v/>
      </c>
      <c r="X12" s="57" t="str">
        <f t="shared" si="2"/>
        <v/>
      </c>
      <c r="Y12" s="49"/>
      <c r="Z12" s="50"/>
      <c r="AA12" s="39" t="str">
        <f>Settings!B39</f>
        <v>Vehicle EMI - 262</v>
      </c>
      <c r="AB12" s="58"/>
      <c r="AC12" s="59"/>
      <c r="AD12" s="49"/>
    </row>
    <row r="13" spans="1:30" ht="19.05" customHeight="1" x14ac:dyDescent="0.3">
      <c r="A13" s="36">
        <v>9</v>
      </c>
      <c r="B13" s="43"/>
      <c r="C13" s="15"/>
      <c r="D13" s="15"/>
      <c r="E13" s="15"/>
      <c r="F13" s="44"/>
      <c r="G13" s="6"/>
      <c r="H13" s="6"/>
      <c r="I13" s="45"/>
      <c r="J13" s="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46" t="str">
        <f t="shared" si="0"/>
        <v/>
      </c>
      <c r="W13" s="47" t="str">
        <f t="shared" si="1"/>
        <v/>
      </c>
      <c r="X13" s="48" t="str">
        <f t="shared" si="2"/>
        <v/>
      </c>
      <c r="Y13" s="49"/>
      <c r="Z13" s="50"/>
      <c r="AA13" s="37" t="str">
        <f>Settings!B40</f>
        <v>Vehicle EMI - New Vehicle</v>
      </c>
      <c r="AB13" s="51"/>
      <c r="AC13" s="52"/>
      <c r="AD13" s="49"/>
    </row>
    <row r="14" spans="1:30" ht="19.05" customHeight="1" x14ac:dyDescent="0.3">
      <c r="A14" s="36">
        <v>10</v>
      </c>
      <c r="B14" s="53"/>
      <c r="C14" s="54"/>
      <c r="D14" s="54"/>
      <c r="E14" s="54"/>
      <c r="F14" s="44"/>
      <c r="G14" s="17"/>
      <c r="H14" s="17"/>
      <c r="I14" s="45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55" t="str">
        <f t="shared" si="0"/>
        <v/>
      </c>
      <c r="W14" s="56" t="str">
        <f t="shared" si="1"/>
        <v/>
      </c>
      <c r="X14" s="57" t="str">
        <f t="shared" si="2"/>
        <v/>
      </c>
      <c r="Y14" s="49"/>
      <c r="Z14" s="50"/>
      <c r="AA14" s="39" t="str">
        <f>Settings!B41</f>
        <v>Vehicle Maintenance</v>
      </c>
      <c r="AB14" s="58"/>
      <c r="AC14" s="59"/>
      <c r="AD14" s="49"/>
    </row>
    <row r="15" spans="1:30" ht="19.05" customHeight="1" x14ac:dyDescent="0.3">
      <c r="A15" s="36">
        <v>11</v>
      </c>
      <c r="B15" s="43"/>
      <c r="C15" s="15"/>
      <c r="D15" s="15"/>
      <c r="E15" s="15"/>
      <c r="F15" s="44"/>
      <c r="G15" s="6"/>
      <c r="H15" s="6"/>
      <c r="I15" s="45"/>
      <c r="J15" s="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46" t="str">
        <f t="shared" si="0"/>
        <v/>
      </c>
      <c r="W15" s="47" t="str">
        <f t="shared" si="1"/>
        <v/>
      </c>
      <c r="X15" s="48" t="str">
        <f t="shared" si="2"/>
        <v/>
      </c>
      <c r="Y15" s="49"/>
      <c r="Z15" s="50"/>
      <c r="AA15" s="37" t="str">
        <f>Settings!B42</f>
        <v>Shop Rent</v>
      </c>
      <c r="AB15" s="51"/>
      <c r="AC15" s="52"/>
      <c r="AD15" s="49"/>
    </row>
    <row r="16" spans="1:30" ht="19.05" customHeight="1" x14ac:dyDescent="0.3">
      <c r="A16" s="36">
        <v>12</v>
      </c>
      <c r="B16" s="53"/>
      <c r="C16" s="54"/>
      <c r="D16" s="54"/>
      <c r="E16" s="54"/>
      <c r="F16" s="44"/>
      <c r="G16" s="17"/>
      <c r="H16" s="17"/>
      <c r="I16" s="45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55" t="str">
        <f t="shared" si="0"/>
        <v/>
      </c>
      <c r="W16" s="56" t="str">
        <f t="shared" si="1"/>
        <v/>
      </c>
      <c r="X16" s="57" t="str">
        <f t="shared" si="2"/>
        <v/>
      </c>
      <c r="Y16" s="49"/>
      <c r="Z16" s="50"/>
      <c r="AA16" s="39" t="str">
        <f>Settings!B43</f>
        <v>Electricity &amp; Bills</v>
      </c>
      <c r="AB16" s="58"/>
      <c r="AC16" s="59"/>
      <c r="AD16" s="49"/>
    </row>
    <row r="17" spans="1:30" ht="19.05" customHeight="1" x14ac:dyDescent="0.3">
      <c r="A17" s="36">
        <v>13</v>
      </c>
      <c r="B17" s="43"/>
      <c r="C17" s="15"/>
      <c r="D17" s="15"/>
      <c r="E17" s="15"/>
      <c r="F17" s="44"/>
      <c r="G17" s="6"/>
      <c r="H17" s="6"/>
      <c r="I17" s="45"/>
      <c r="J17" s="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46" t="str">
        <f t="shared" si="0"/>
        <v/>
      </c>
      <c r="W17" s="47" t="str">
        <f t="shared" si="1"/>
        <v/>
      </c>
      <c r="X17" s="48" t="str">
        <f t="shared" si="2"/>
        <v/>
      </c>
      <c r="Y17" s="49"/>
      <c r="Z17" s="50"/>
      <c r="AA17" s="37" t="str">
        <f>Settings!B44</f>
        <v>Chits / Pigmy</v>
      </c>
      <c r="AB17" s="51"/>
      <c r="AC17" s="52"/>
      <c r="AD17" s="49"/>
    </row>
    <row r="18" spans="1:30" ht="19.05" customHeight="1" x14ac:dyDescent="0.3">
      <c r="A18" s="36">
        <v>14</v>
      </c>
      <c r="B18" s="53"/>
      <c r="C18" s="54"/>
      <c r="D18" s="54"/>
      <c r="E18" s="54"/>
      <c r="F18" s="44"/>
      <c r="G18" s="17"/>
      <c r="H18" s="17"/>
      <c r="I18" s="45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55" t="str">
        <f t="shared" si="0"/>
        <v/>
      </c>
      <c r="W18" s="56" t="str">
        <f t="shared" si="1"/>
        <v/>
      </c>
      <c r="X18" s="57" t="str">
        <f t="shared" si="2"/>
        <v/>
      </c>
      <c r="Y18" s="49"/>
      <c r="Z18" s="50"/>
      <c r="AA18" s="39" t="str">
        <f>Settings!B45</f>
        <v>LR Printing &amp; Stationery</v>
      </c>
      <c r="AB18" s="58"/>
      <c r="AC18" s="59"/>
      <c r="AD18" s="49"/>
    </row>
    <row r="19" spans="1:30" ht="19.05" customHeight="1" x14ac:dyDescent="0.3">
      <c r="A19" s="36">
        <v>15</v>
      </c>
      <c r="B19" s="43"/>
      <c r="C19" s="15"/>
      <c r="D19" s="15"/>
      <c r="E19" s="15"/>
      <c r="F19" s="44"/>
      <c r="G19" s="6"/>
      <c r="H19" s="6"/>
      <c r="I19" s="45"/>
      <c r="J19" s="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46" t="str">
        <f t="shared" si="0"/>
        <v/>
      </c>
      <c r="W19" s="47" t="str">
        <f t="shared" si="1"/>
        <v/>
      </c>
      <c r="X19" s="48" t="str">
        <f t="shared" si="2"/>
        <v/>
      </c>
      <c r="Y19" s="49"/>
      <c r="Z19" s="50"/>
      <c r="AA19" s="37" t="str">
        <f>Settings!B46</f>
        <v>Tea / Snacks / Food</v>
      </c>
      <c r="AB19" s="51"/>
      <c r="AC19" s="52"/>
      <c r="AD19" s="49"/>
    </row>
    <row r="20" spans="1:30" ht="19.05" customHeight="1" x14ac:dyDescent="0.3">
      <c r="A20" s="36">
        <v>16</v>
      </c>
      <c r="B20" s="53"/>
      <c r="C20" s="54"/>
      <c r="D20" s="54"/>
      <c r="E20" s="54"/>
      <c r="F20" s="44"/>
      <c r="G20" s="17"/>
      <c r="H20" s="17"/>
      <c r="I20" s="45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55" t="str">
        <f t="shared" si="0"/>
        <v/>
      </c>
      <c r="W20" s="56" t="str">
        <f t="shared" si="1"/>
        <v/>
      </c>
      <c r="X20" s="57" t="str">
        <f t="shared" si="2"/>
        <v/>
      </c>
      <c r="Y20" s="49"/>
      <c r="Z20" s="50"/>
      <c r="AA20" s="39" t="str">
        <f>Settings!B47</f>
        <v>Commission (Office)</v>
      </c>
      <c r="AB20" s="58"/>
      <c r="AC20" s="59"/>
      <c r="AD20" s="49"/>
    </row>
    <row r="21" spans="1:30" ht="19.05" customHeight="1" x14ac:dyDescent="0.3">
      <c r="A21" s="36">
        <v>17</v>
      </c>
      <c r="B21" s="43"/>
      <c r="C21" s="15"/>
      <c r="D21" s="15"/>
      <c r="E21" s="15"/>
      <c r="F21" s="44"/>
      <c r="G21" s="6"/>
      <c r="H21" s="6"/>
      <c r="I21" s="45"/>
      <c r="J21" s="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46" t="str">
        <f t="shared" si="0"/>
        <v/>
      </c>
      <c r="W21" s="47" t="str">
        <f t="shared" si="1"/>
        <v/>
      </c>
      <c r="X21" s="48" t="str">
        <f t="shared" si="2"/>
        <v/>
      </c>
      <c r="Y21" s="49"/>
      <c r="Z21" s="50"/>
      <c r="AA21" s="37" t="str">
        <f>Settings!B48</f>
        <v>Profit Encashment</v>
      </c>
      <c r="AB21" s="51"/>
      <c r="AC21" s="52"/>
      <c r="AD21" s="49"/>
    </row>
    <row r="22" spans="1:30" ht="19.05" customHeight="1" x14ac:dyDescent="0.3">
      <c r="A22" s="36">
        <v>18</v>
      </c>
      <c r="B22" s="53"/>
      <c r="C22" s="54"/>
      <c r="D22" s="54"/>
      <c r="E22" s="54"/>
      <c r="F22" s="44"/>
      <c r="G22" s="17"/>
      <c r="H22" s="17"/>
      <c r="I22" s="45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5" t="str">
        <f t="shared" si="0"/>
        <v/>
      </c>
      <c r="W22" s="56" t="str">
        <f t="shared" si="1"/>
        <v/>
      </c>
      <c r="X22" s="57" t="str">
        <f t="shared" si="2"/>
        <v/>
      </c>
      <c r="Y22" s="49"/>
      <c r="Z22" s="50"/>
      <c r="AA22" s="39" t="str">
        <f>Settings!B49</f>
        <v>Misc 1</v>
      </c>
      <c r="AB22" s="58"/>
      <c r="AC22" s="59"/>
      <c r="AD22" s="49"/>
    </row>
    <row r="23" spans="1:30" ht="19.05" customHeight="1" x14ac:dyDescent="0.3">
      <c r="A23" s="36">
        <v>19</v>
      </c>
      <c r="B23" s="43"/>
      <c r="C23" s="15"/>
      <c r="D23" s="15"/>
      <c r="E23" s="15"/>
      <c r="F23" s="44"/>
      <c r="G23" s="6"/>
      <c r="H23" s="6"/>
      <c r="I23" s="45"/>
      <c r="J23" s="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46" t="str">
        <f t="shared" si="0"/>
        <v/>
      </c>
      <c r="W23" s="47" t="str">
        <f t="shared" si="1"/>
        <v/>
      </c>
      <c r="X23" s="48" t="str">
        <f t="shared" si="2"/>
        <v/>
      </c>
      <c r="Y23" s="49"/>
      <c r="Z23" s="50"/>
      <c r="AA23" s="37" t="str">
        <f>Settings!B50</f>
        <v>Misc 2</v>
      </c>
      <c r="AB23" s="51"/>
      <c r="AC23" s="52"/>
      <c r="AD23" s="49"/>
    </row>
    <row r="24" spans="1:30" ht="19.05" customHeight="1" x14ac:dyDescent="0.3">
      <c r="A24" s="36">
        <v>20</v>
      </c>
      <c r="B24" s="53"/>
      <c r="C24" s="54"/>
      <c r="D24" s="54"/>
      <c r="E24" s="54"/>
      <c r="F24" s="44"/>
      <c r="G24" s="17"/>
      <c r="H24" s="17"/>
      <c r="I24" s="45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5" t="str">
        <f t="shared" si="0"/>
        <v/>
      </c>
      <c r="W24" s="56" t="str">
        <f t="shared" si="1"/>
        <v/>
      </c>
      <c r="X24" s="57" t="str">
        <f t="shared" si="2"/>
        <v/>
      </c>
      <c r="Y24" s="49"/>
      <c r="Z24" s="50"/>
      <c r="AA24" s="39" t="str">
        <f>Settings!B51</f>
        <v>Misc 3</v>
      </c>
      <c r="AB24" s="58"/>
      <c r="AC24" s="59"/>
      <c r="AD24" s="49"/>
    </row>
    <row r="25" spans="1:30" ht="19.05" customHeight="1" x14ac:dyDescent="0.3">
      <c r="A25" s="36">
        <v>21</v>
      </c>
      <c r="B25" s="43"/>
      <c r="C25" s="15"/>
      <c r="D25" s="15"/>
      <c r="E25" s="15"/>
      <c r="F25" s="44"/>
      <c r="G25" s="6"/>
      <c r="H25" s="6"/>
      <c r="I25" s="45"/>
      <c r="J25" s="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46" t="str">
        <f t="shared" si="0"/>
        <v/>
      </c>
      <c r="W25" s="47" t="str">
        <f t="shared" si="1"/>
        <v/>
      </c>
      <c r="X25" s="48" t="str">
        <f t="shared" si="2"/>
        <v/>
      </c>
      <c r="Y25" s="49"/>
      <c r="Z25" s="50"/>
      <c r="AA25" s="37" t="str">
        <f>Settings!B52</f>
        <v>Misc 4</v>
      </c>
      <c r="AB25" s="51"/>
      <c r="AC25" s="52"/>
      <c r="AD25" s="49"/>
    </row>
    <row r="26" spans="1:30" ht="19.05" customHeight="1" x14ac:dyDescent="0.3">
      <c r="A26" s="36">
        <v>22</v>
      </c>
      <c r="B26" s="53"/>
      <c r="C26" s="54"/>
      <c r="D26" s="54"/>
      <c r="E26" s="54"/>
      <c r="F26" s="44"/>
      <c r="G26" s="17"/>
      <c r="H26" s="17"/>
      <c r="I26" s="45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5" t="str">
        <f t="shared" si="0"/>
        <v/>
      </c>
      <c r="W26" s="56" t="str">
        <f t="shared" si="1"/>
        <v/>
      </c>
      <c r="X26" s="57" t="str">
        <f t="shared" si="2"/>
        <v/>
      </c>
      <c r="Y26" s="49"/>
      <c r="Z26" s="50"/>
      <c r="AA26" s="39" t="str">
        <f>Settings!B53</f>
        <v>Misc 5</v>
      </c>
      <c r="AB26" s="58"/>
      <c r="AC26" s="59"/>
      <c r="AD26" s="49"/>
    </row>
    <row r="27" spans="1:30" ht="19.05" customHeight="1" x14ac:dyDescent="0.3">
      <c r="A27" s="36">
        <v>23</v>
      </c>
      <c r="B27" s="43"/>
      <c r="C27" s="15"/>
      <c r="D27" s="15"/>
      <c r="E27" s="15"/>
      <c r="F27" s="44"/>
      <c r="G27" s="6"/>
      <c r="H27" s="6"/>
      <c r="I27" s="45"/>
      <c r="J27" s="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6" t="str">
        <f t="shared" si="0"/>
        <v/>
      </c>
      <c r="W27" s="47" t="str">
        <f t="shared" si="1"/>
        <v/>
      </c>
      <c r="X27" s="48" t="str">
        <f t="shared" si="2"/>
        <v/>
      </c>
      <c r="Y27" s="49"/>
      <c r="Z27" s="50"/>
      <c r="AA27" s="37" t="str">
        <f>Settings!B54</f>
        <v>Misc 6</v>
      </c>
      <c r="AB27" s="51"/>
      <c r="AC27" s="52"/>
      <c r="AD27" s="49"/>
    </row>
    <row r="28" spans="1:30" ht="19.05" customHeight="1" x14ac:dyDescent="0.3">
      <c r="A28" s="36">
        <v>24</v>
      </c>
      <c r="B28" s="53"/>
      <c r="C28" s="54"/>
      <c r="D28" s="54"/>
      <c r="E28" s="54"/>
      <c r="F28" s="44"/>
      <c r="G28" s="17"/>
      <c r="H28" s="17"/>
      <c r="I28" s="45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5" t="str">
        <f t="shared" si="0"/>
        <v/>
      </c>
      <c r="W28" s="56" t="str">
        <f t="shared" si="1"/>
        <v/>
      </c>
      <c r="X28" s="57" t="str">
        <f t="shared" si="2"/>
        <v/>
      </c>
      <c r="Y28" s="49"/>
      <c r="Z28" s="50"/>
    </row>
    <row r="29" spans="1:30" ht="19.05" customHeight="1" x14ac:dyDescent="0.3">
      <c r="A29" s="36">
        <v>25</v>
      </c>
      <c r="B29" s="43"/>
      <c r="C29" s="15"/>
      <c r="D29" s="15"/>
      <c r="E29" s="15"/>
      <c r="F29" s="44"/>
      <c r="G29" s="6"/>
      <c r="H29" s="6"/>
      <c r="I29" s="45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46" t="str">
        <f t="shared" si="0"/>
        <v/>
      </c>
      <c r="W29" s="47" t="str">
        <f t="shared" si="1"/>
        <v/>
      </c>
      <c r="X29" s="48" t="str">
        <f t="shared" si="2"/>
        <v/>
      </c>
      <c r="Y29" s="49"/>
      <c r="Z29" s="50"/>
    </row>
    <row r="30" spans="1:30" ht="19.05" customHeight="1" x14ac:dyDescent="0.3">
      <c r="A30" s="36">
        <v>26</v>
      </c>
      <c r="B30" s="53"/>
      <c r="C30" s="54"/>
      <c r="D30" s="54"/>
      <c r="E30" s="54"/>
      <c r="F30" s="44"/>
      <c r="G30" s="17"/>
      <c r="H30" s="17"/>
      <c r="I30" s="45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5" t="str">
        <f t="shared" si="0"/>
        <v/>
      </c>
      <c r="W30" s="56" t="str">
        <f t="shared" si="1"/>
        <v/>
      </c>
      <c r="X30" s="57" t="str">
        <f t="shared" si="2"/>
        <v/>
      </c>
      <c r="Y30" s="49"/>
      <c r="Z30" s="50"/>
    </row>
    <row r="31" spans="1:30" ht="19.05" customHeight="1" x14ac:dyDescent="0.3">
      <c r="A31" s="36">
        <v>27</v>
      </c>
      <c r="B31" s="43"/>
      <c r="C31" s="15"/>
      <c r="D31" s="15"/>
      <c r="E31" s="15"/>
      <c r="F31" s="44"/>
      <c r="G31" s="6"/>
      <c r="H31" s="6"/>
      <c r="I31" s="45"/>
      <c r="J31" s="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46" t="str">
        <f t="shared" si="0"/>
        <v/>
      </c>
      <c r="W31" s="47" t="str">
        <f t="shared" si="1"/>
        <v/>
      </c>
      <c r="X31" s="48" t="str">
        <f t="shared" si="2"/>
        <v/>
      </c>
      <c r="Y31" s="49"/>
      <c r="Z31" s="50"/>
    </row>
    <row r="32" spans="1:30" ht="19.05" customHeight="1" x14ac:dyDescent="0.3">
      <c r="A32" s="36">
        <v>28</v>
      </c>
      <c r="B32" s="53"/>
      <c r="C32" s="54"/>
      <c r="D32" s="54"/>
      <c r="E32" s="54"/>
      <c r="F32" s="44"/>
      <c r="G32" s="17"/>
      <c r="H32" s="17"/>
      <c r="I32" s="45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5" t="str">
        <f t="shared" si="0"/>
        <v/>
      </c>
      <c r="W32" s="56" t="str">
        <f t="shared" si="1"/>
        <v/>
      </c>
      <c r="X32" s="57" t="str">
        <f t="shared" si="2"/>
        <v/>
      </c>
      <c r="Y32" s="49"/>
      <c r="Z32" s="50"/>
    </row>
    <row r="33" spans="1:26" ht="19.05" customHeight="1" x14ac:dyDescent="0.3">
      <c r="A33" s="36">
        <v>29</v>
      </c>
      <c r="B33" s="43"/>
      <c r="C33" s="15"/>
      <c r="D33" s="15"/>
      <c r="E33" s="15"/>
      <c r="F33" s="44"/>
      <c r="G33" s="6"/>
      <c r="H33" s="6"/>
      <c r="I33" s="45"/>
      <c r="J33" s="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46" t="str">
        <f t="shared" si="0"/>
        <v/>
      </c>
      <c r="W33" s="47" t="str">
        <f t="shared" si="1"/>
        <v/>
      </c>
      <c r="X33" s="48" t="str">
        <f t="shared" si="2"/>
        <v/>
      </c>
      <c r="Y33" s="49"/>
      <c r="Z33" s="50"/>
    </row>
    <row r="34" spans="1:26" ht="19.05" customHeight="1" x14ac:dyDescent="0.3">
      <c r="A34" s="36">
        <v>30</v>
      </c>
      <c r="B34" s="53"/>
      <c r="C34" s="54"/>
      <c r="D34" s="54"/>
      <c r="E34" s="54"/>
      <c r="F34" s="44"/>
      <c r="G34" s="17"/>
      <c r="H34" s="17"/>
      <c r="I34" s="45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5" t="str">
        <f t="shared" si="0"/>
        <v/>
      </c>
      <c r="W34" s="56" t="str">
        <f t="shared" si="1"/>
        <v/>
      </c>
      <c r="X34" s="57" t="str">
        <f t="shared" si="2"/>
        <v/>
      </c>
      <c r="Y34" s="49"/>
      <c r="Z34" s="50"/>
    </row>
    <row r="35" spans="1:26" ht="19.05" customHeight="1" x14ac:dyDescent="0.3">
      <c r="A35" s="36">
        <v>31</v>
      </c>
      <c r="B35" s="43"/>
      <c r="C35" s="15"/>
      <c r="D35" s="15"/>
      <c r="E35" s="15"/>
      <c r="F35" s="44"/>
      <c r="G35" s="6"/>
      <c r="H35" s="6"/>
      <c r="I35" s="45"/>
      <c r="J35" s="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6" t="str">
        <f t="shared" si="0"/>
        <v/>
      </c>
      <c r="W35" s="47" t="str">
        <f t="shared" si="1"/>
        <v/>
      </c>
      <c r="X35" s="48" t="str">
        <f t="shared" si="2"/>
        <v/>
      </c>
      <c r="Y35" s="49"/>
      <c r="Z35" s="50"/>
    </row>
    <row r="36" spans="1:26" ht="19.05" customHeight="1" x14ac:dyDescent="0.3">
      <c r="A36" s="36">
        <v>32</v>
      </c>
      <c r="B36" s="53"/>
      <c r="C36" s="54"/>
      <c r="D36" s="54"/>
      <c r="E36" s="54"/>
      <c r="F36" s="44"/>
      <c r="G36" s="17"/>
      <c r="H36" s="17"/>
      <c r="I36" s="45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5" t="str">
        <f t="shared" si="0"/>
        <v/>
      </c>
      <c r="W36" s="56" t="str">
        <f t="shared" si="1"/>
        <v/>
      </c>
      <c r="X36" s="57" t="str">
        <f t="shared" si="2"/>
        <v/>
      </c>
      <c r="Y36" s="49"/>
      <c r="Z36" s="50"/>
    </row>
    <row r="37" spans="1:26" ht="19.05" customHeight="1" x14ac:dyDescent="0.3">
      <c r="A37" s="36">
        <v>33</v>
      </c>
      <c r="B37" s="43"/>
      <c r="C37" s="15"/>
      <c r="D37" s="15"/>
      <c r="E37" s="15"/>
      <c r="F37" s="44"/>
      <c r="G37" s="6"/>
      <c r="H37" s="6"/>
      <c r="I37" s="45"/>
      <c r="J37" s="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46" t="str">
        <f t="shared" ref="V37:V68" si="3">IF(F37="Own",IFERROR(IFERROR(G37,0)+IFERROR(H37,0)+IFERROR(J37,0),0),IF(F37="Rented",IFERROR(IFERROR(H37,0)+IFERROR(N37,0),0),""))</f>
        <v/>
      </c>
      <c r="W37" s="47" t="str">
        <f t="shared" ref="W37:W68" si="4">IF(F37="Own",IFERROR(IFERROR(K37,0)+IFERROR(L37,0)+IFERROR(M37,0)+IFERROR(N37,0)+IFERROR(O37,0)+IFERROR(P37,0)+IFERROR(Q37,0)+IFERROR(R37,0)+IFERROR(S37,0)+IFERROR(T37,0)+IFERROR(U37,0),0),IF(F37="Rented",0,""))</f>
        <v/>
      </c>
      <c r="X37" s="48" t="str">
        <f t="shared" ref="X37:X68" si="5">IF(F37="Own",IFERROR(V37-W37,0),IF(F37="Rented",IFERROR(V37,0),""))</f>
        <v/>
      </c>
      <c r="Y37" s="49"/>
      <c r="Z37" s="50"/>
    </row>
    <row r="38" spans="1:26" ht="19.05" customHeight="1" x14ac:dyDescent="0.3">
      <c r="A38" s="36">
        <v>34</v>
      </c>
      <c r="B38" s="53"/>
      <c r="C38" s="54"/>
      <c r="D38" s="54"/>
      <c r="E38" s="54"/>
      <c r="F38" s="44"/>
      <c r="G38" s="17"/>
      <c r="H38" s="17"/>
      <c r="I38" s="45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5" t="str">
        <f t="shared" si="3"/>
        <v/>
      </c>
      <c r="W38" s="56" t="str">
        <f t="shared" si="4"/>
        <v/>
      </c>
      <c r="X38" s="57" t="str">
        <f t="shared" si="5"/>
        <v/>
      </c>
      <c r="Y38" s="49"/>
      <c r="Z38" s="50"/>
    </row>
    <row r="39" spans="1:26" ht="19.05" customHeight="1" x14ac:dyDescent="0.3">
      <c r="A39" s="36">
        <v>35</v>
      </c>
      <c r="B39" s="43"/>
      <c r="C39" s="15"/>
      <c r="D39" s="15"/>
      <c r="E39" s="15"/>
      <c r="F39" s="44"/>
      <c r="G39" s="6"/>
      <c r="H39" s="6"/>
      <c r="I39" s="45"/>
      <c r="J39" s="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46" t="str">
        <f t="shared" si="3"/>
        <v/>
      </c>
      <c r="W39" s="47" t="str">
        <f t="shared" si="4"/>
        <v/>
      </c>
      <c r="X39" s="48" t="str">
        <f t="shared" si="5"/>
        <v/>
      </c>
      <c r="Y39" s="49"/>
      <c r="Z39" s="50"/>
    </row>
    <row r="40" spans="1:26" ht="19.05" customHeight="1" x14ac:dyDescent="0.3">
      <c r="A40" s="36">
        <v>36</v>
      </c>
      <c r="B40" s="53"/>
      <c r="C40" s="54"/>
      <c r="D40" s="54"/>
      <c r="E40" s="54"/>
      <c r="F40" s="44"/>
      <c r="G40" s="17"/>
      <c r="H40" s="17"/>
      <c r="I40" s="45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5" t="str">
        <f t="shared" si="3"/>
        <v/>
      </c>
      <c r="W40" s="56" t="str">
        <f t="shared" si="4"/>
        <v/>
      </c>
      <c r="X40" s="57" t="str">
        <f t="shared" si="5"/>
        <v/>
      </c>
      <c r="Y40" s="49"/>
      <c r="Z40" s="50"/>
    </row>
    <row r="41" spans="1:26" ht="19.05" customHeight="1" x14ac:dyDescent="0.3">
      <c r="A41" s="36">
        <v>37</v>
      </c>
      <c r="B41" s="43"/>
      <c r="C41" s="15"/>
      <c r="D41" s="15"/>
      <c r="E41" s="15"/>
      <c r="F41" s="44"/>
      <c r="G41" s="6"/>
      <c r="H41" s="6"/>
      <c r="I41" s="45"/>
      <c r="J41" s="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46" t="str">
        <f t="shared" si="3"/>
        <v/>
      </c>
      <c r="W41" s="47" t="str">
        <f t="shared" si="4"/>
        <v/>
      </c>
      <c r="X41" s="48" t="str">
        <f t="shared" si="5"/>
        <v/>
      </c>
      <c r="Y41" s="49"/>
      <c r="Z41" s="50"/>
    </row>
    <row r="42" spans="1:26" ht="19.05" customHeight="1" x14ac:dyDescent="0.3">
      <c r="A42" s="36">
        <v>38</v>
      </c>
      <c r="B42" s="53"/>
      <c r="C42" s="54"/>
      <c r="D42" s="54"/>
      <c r="E42" s="54"/>
      <c r="F42" s="44"/>
      <c r="G42" s="17"/>
      <c r="H42" s="17"/>
      <c r="I42" s="45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5" t="str">
        <f t="shared" si="3"/>
        <v/>
      </c>
      <c r="W42" s="56" t="str">
        <f t="shared" si="4"/>
        <v/>
      </c>
      <c r="X42" s="57" t="str">
        <f t="shared" si="5"/>
        <v/>
      </c>
      <c r="Y42" s="49"/>
      <c r="Z42" s="50"/>
    </row>
    <row r="43" spans="1:26" ht="19.05" customHeight="1" x14ac:dyDescent="0.3">
      <c r="A43" s="36">
        <v>39</v>
      </c>
      <c r="B43" s="43"/>
      <c r="C43" s="15"/>
      <c r="D43" s="15"/>
      <c r="E43" s="15"/>
      <c r="F43" s="44"/>
      <c r="G43" s="6"/>
      <c r="H43" s="6"/>
      <c r="I43" s="45"/>
      <c r="J43" s="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46" t="str">
        <f t="shared" si="3"/>
        <v/>
      </c>
      <c r="W43" s="47" t="str">
        <f t="shared" si="4"/>
        <v/>
      </c>
      <c r="X43" s="48" t="str">
        <f t="shared" si="5"/>
        <v/>
      </c>
      <c r="Y43" s="49"/>
      <c r="Z43" s="50"/>
    </row>
    <row r="44" spans="1:26" ht="19.05" customHeight="1" x14ac:dyDescent="0.3">
      <c r="A44" s="36">
        <v>40</v>
      </c>
      <c r="B44" s="53"/>
      <c r="C44" s="54"/>
      <c r="D44" s="54"/>
      <c r="E44" s="54"/>
      <c r="F44" s="44"/>
      <c r="G44" s="17"/>
      <c r="H44" s="17"/>
      <c r="I44" s="45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5" t="str">
        <f t="shared" si="3"/>
        <v/>
      </c>
      <c r="W44" s="56" t="str">
        <f t="shared" si="4"/>
        <v/>
      </c>
      <c r="X44" s="57" t="str">
        <f t="shared" si="5"/>
        <v/>
      </c>
      <c r="Y44" s="49"/>
      <c r="Z44" s="50"/>
    </row>
    <row r="45" spans="1:26" ht="19.05" customHeight="1" x14ac:dyDescent="0.3">
      <c r="A45" s="36">
        <v>41</v>
      </c>
      <c r="B45" s="43"/>
      <c r="C45" s="15"/>
      <c r="D45" s="15"/>
      <c r="E45" s="15"/>
      <c r="F45" s="44"/>
      <c r="G45" s="6"/>
      <c r="H45" s="6"/>
      <c r="I45" s="45"/>
      <c r="J45" s="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46" t="str">
        <f t="shared" si="3"/>
        <v/>
      </c>
      <c r="W45" s="47" t="str">
        <f t="shared" si="4"/>
        <v/>
      </c>
      <c r="X45" s="48" t="str">
        <f t="shared" si="5"/>
        <v/>
      </c>
      <c r="Y45" s="49"/>
      <c r="Z45" s="50"/>
    </row>
    <row r="46" spans="1:26" ht="19.05" customHeight="1" x14ac:dyDescent="0.3">
      <c r="A46" s="36">
        <v>42</v>
      </c>
      <c r="B46" s="53"/>
      <c r="C46" s="54"/>
      <c r="D46" s="54"/>
      <c r="E46" s="54"/>
      <c r="F46" s="44"/>
      <c r="G46" s="17"/>
      <c r="H46" s="17"/>
      <c r="I46" s="45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5" t="str">
        <f t="shared" si="3"/>
        <v/>
      </c>
      <c r="W46" s="56" t="str">
        <f t="shared" si="4"/>
        <v/>
      </c>
      <c r="X46" s="57" t="str">
        <f t="shared" si="5"/>
        <v/>
      </c>
      <c r="Y46" s="49"/>
      <c r="Z46" s="50"/>
    </row>
    <row r="47" spans="1:26" ht="19.05" customHeight="1" x14ac:dyDescent="0.3">
      <c r="A47" s="36">
        <v>43</v>
      </c>
      <c r="B47" s="43"/>
      <c r="C47" s="15"/>
      <c r="D47" s="15"/>
      <c r="E47" s="15"/>
      <c r="F47" s="44"/>
      <c r="G47" s="6"/>
      <c r="H47" s="6"/>
      <c r="I47" s="45"/>
      <c r="J47" s="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46" t="str">
        <f t="shared" si="3"/>
        <v/>
      </c>
      <c r="W47" s="47" t="str">
        <f t="shared" si="4"/>
        <v/>
      </c>
      <c r="X47" s="48" t="str">
        <f t="shared" si="5"/>
        <v/>
      </c>
      <c r="Y47" s="49"/>
      <c r="Z47" s="50"/>
    </row>
    <row r="48" spans="1:26" ht="19.05" customHeight="1" x14ac:dyDescent="0.3">
      <c r="A48" s="36">
        <v>44</v>
      </c>
      <c r="B48" s="53"/>
      <c r="C48" s="54"/>
      <c r="D48" s="54"/>
      <c r="E48" s="54"/>
      <c r="F48" s="44"/>
      <c r="G48" s="17"/>
      <c r="H48" s="17"/>
      <c r="I48" s="45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5" t="str">
        <f t="shared" si="3"/>
        <v/>
      </c>
      <c r="W48" s="56" t="str">
        <f t="shared" si="4"/>
        <v/>
      </c>
      <c r="X48" s="57" t="str">
        <f t="shared" si="5"/>
        <v/>
      </c>
      <c r="Y48" s="49"/>
      <c r="Z48" s="50"/>
    </row>
    <row r="49" spans="1:26" ht="19.05" customHeight="1" x14ac:dyDescent="0.3">
      <c r="A49" s="36">
        <v>45</v>
      </c>
      <c r="B49" s="43"/>
      <c r="C49" s="15"/>
      <c r="D49" s="15"/>
      <c r="E49" s="15"/>
      <c r="F49" s="44"/>
      <c r="G49" s="6"/>
      <c r="H49" s="6"/>
      <c r="I49" s="45"/>
      <c r="J49" s="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 t="str">
        <f t="shared" si="3"/>
        <v/>
      </c>
      <c r="W49" s="47" t="str">
        <f t="shared" si="4"/>
        <v/>
      </c>
      <c r="X49" s="48" t="str">
        <f t="shared" si="5"/>
        <v/>
      </c>
      <c r="Y49" s="49"/>
      <c r="Z49" s="50"/>
    </row>
    <row r="50" spans="1:26" ht="19.05" customHeight="1" x14ac:dyDescent="0.3">
      <c r="A50" s="36">
        <v>46</v>
      </c>
      <c r="B50" s="53"/>
      <c r="C50" s="54"/>
      <c r="D50" s="54"/>
      <c r="E50" s="54"/>
      <c r="F50" s="44"/>
      <c r="G50" s="17"/>
      <c r="H50" s="17"/>
      <c r="I50" s="45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5" t="str">
        <f t="shared" si="3"/>
        <v/>
      </c>
      <c r="W50" s="56" t="str">
        <f t="shared" si="4"/>
        <v/>
      </c>
      <c r="X50" s="57" t="str">
        <f t="shared" si="5"/>
        <v/>
      </c>
      <c r="Y50" s="49"/>
      <c r="Z50" s="50"/>
    </row>
    <row r="51" spans="1:26" ht="19.05" customHeight="1" x14ac:dyDescent="0.3">
      <c r="A51" s="36">
        <v>47</v>
      </c>
      <c r="B51" s="43"/>
      <c r="C51" s="15"/>
      <c r="D51" s="15"/>
      <c r="E51" s="15"/>
      <c r="F51" s="44"/>
      <c r="G51" s="6"/>
      <c r="H51" s="6"/>
      <c r="I51" s="45"/>
      <c r="J51" s="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46" t="str">
        <f t="shared" si="3"/>
        <v/>
      </c>
      <c r="W51" s="47" t="str">
        <f t="shared" si="4"/>
        <v/>
      </c>
      <c r="X51" s="48" t="str">
        <f t="shared" si="5"/>
        <v/>
      </c>
      <c r="Y51" s="49"/>
      <c r="Z51" s="50"/>
    </row>
    <row r="52" spans="1:26" ht="19.05" customHeight="1" x14ac:dyDescent="0.3">
      <c r="A52" s="36">
        <v>48</v>
      </c>
      <c r="B52" s="53"/>
      <c r="C52" s="54"/>
      <c r="D52" s="54"/>
      <c r="E52" s="54"/>
      <c r="F52" s="44"/>
      <c r="G52" s="17"/>
      <c r="H52" s="17"/>
      <c r="I52" s="45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5" t="str">
        <f t="shared" si="3"/>
        <v/>
      </c>
      <c r="W52" s="56" t="str">
        <f t="shared" si="4"/>
        <v/>
      </c>
      <c r="X52" s="57" t="str">
        <f t="shared" si="5"/>
        <v/>
      </c>
      <c r="Y52" s="49"/>
      <c r="Z52" s="50"/>
    </row>
    <row r="53" spans="1:26" ht="19.05" customHeight="1" x14ac:dyDescent="0.3">
      <c r="A53" s="36">
        <v>49</v>
      </c>
      <c r="B53" s="43"/>
      <c r="C53" s="15"/>
      <c r="D53" s="15"/>
      <c r="E53" s="15"/>
      <c r="F53" s="44"/>
      <c r="G53" s="6"/>
      <c r="H53" s="6"/>
      <c r="I53" s="45"/>
      <c r="J53" s="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46" t="str">
        <f t="shared" si="3"/>
        <v/>
      </c>
      <c r="W53" s="47" t="str">
        <f t="shared" si="4"/>
        <v/>
      </c>
      <c r="X53" s="48" t="str">
        <f t="shared" si="5"/>
        <v/>
      </c>
      <c r="Y53" s="49"/>
      <c r="Z53" s="50"/>
    </row>
    <row r="54" spans="1:26" ht="19.05" customHeight="1" x14ac:dyDescent="0.3">
      <c r="A54" s="36">
        <v>50</v>
      </c>
      <c r="B54" s="53"/>
      <c r="C54" s="54"/>
      <c r="D54" s="54"/>
      <c r="E54" s="54"/>
      <c r="F54" s="44"/>
      <c r="G54" s="17"/>
      <c r="H54" s="17"/>
      <c r="I54" s="45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5" t="str">
        <f t="shared" si="3"/>
        <v/>
      </c>
      <c r="W54" s="56" t="str">
        <f t="shared" si="4"/>
        <v/>
      </c>
      <c r="X54" s="57" t="str">
        <f t="shared" si="5"/>
        <v/>
      </c>
      <c r="Y54" s="49"/>
      <c r="Z54" s="50"/>
    </row>
    <row r="55" spans="1:26" ht="19.05" customHeight="1" x14ac:dyDescent="0.3">
      <c r="A55" s="36">
        <v>51</v>
      </c>
      <c r="B55" s="43"/>
      <c r="C55" s="15"/>
      <c r="D55" s="15"/>
      <c r="E55" s="15"/>
      <c r="F55" s="44"/>
      <c r="G55" s="6"/>
      <c r="H55" s="6"/>
      <c r="I55" s="45"/>
      <c r="J55" s="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46" t="str">
        <f t="shared" si="3"/>
        <v/>
      </c>
      <c r="W55" s="47" t="str">
        <f t="shared" si="4"/>
        <v/>
      </c>
      <c r="X55" s="48" t="str">
        <f t="shared" si="5"/>
        <v/>
      </c>
      <c r="Y55" s="49"/>
      <c r="Z55" s="50"/>
    </row>
    <row r="56" spans="1:26" ht="19.05" customHeight="1" x14ac:dyDescent="0.3">
      <c r="A56" s="36">
        <v>52</v>
      </c>
      <c r="B56" s="53"/>
      <c r="C56" s="54"/>
      <c r="D56" s="54"/>
      <c r="E56" s="54"/>
      <c r="F56" s="44"/>
      <c r="G56" s="17"/>
      <c r="H56" s="17"/>
      <c r="I56" s="45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5" t="str">
        <f t="shared" si="3"/>
        <v/>
      </c>
      <c r="W56" s="56" t="str">
        <f t="shared" si="4"/>
        <v/>
      </c>
      <c r="X56" s="57" t="str">
        <f t="shared" si="5"/>
        <v/>
      </c>
      <c r="Y56" s="49"/>
      <c r="Z56" s="50"/>
    </row>
    <row r="57" spans="1:26" ht="19.05" customHeight="1" x14ac:dyDescent="0.3">
      <c r="A57" s="36">
        <v>53</v>
      </c>
      <c r="B57" s="43"/>
      <c r="C57" s="15"/>
      <c r="D57" s="15"/>
      <c r="E57" s="15"/>
      <c r="F57" s="44"/>
      <c r="G57" s="6"/>
      <c r="H57" s="6"/>
      <c r="I57" s="45"/>
      <c r="J57" s="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46" t="str">
        <f t="shared" si="3"/>
        <v/>
      </c>
      <c r="W57" s="47" t="str">
        <f t="shared" si="4"/>
        <v/>
      </c>
      <c r="X57" s="48" t="str">
        <f t="shared" si="5"/>
        <v/>
      </c>
      <c r="Y57" s="49"/>
      <c r="Z57" s="50"/>
    </row>
    <row r="58" spans="1:26" ht="19.05" customHeight="1" x14ac:dyDescent="0.3">
      <c r="A58" s="36">
        <v>54</v>
      </c>
      <c r="B58" s="53"/>
      <c r="C58" s="54"/>
      <c r="D58" s="54"/>
      <c r="E58" s="54"/>
      <c r="F58" s="44"/>
      <c r="G58" s="17"/>
      <c r="H58" s="17"/>
      <c r="I58" s="45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5" t="str">
        <f t="shared" si="3"/>
        <v/>
      </c>
      <c r="W58" s="56" t="str">
        <f t="shared" si="4"/>
        <v/>
      </c>
      <c r="X58" s="57" t="str">
        <f t="shared" si="5"/>
        <v/>
      </c>
      <c r="Y58" s="49"/>
      <c r="Z58" s="50"/>
    </row>
    <row r="59" spans="1:26" ht="19.05" customHeight="1" x14ac:dyDescent="0.3">
      <c r="A59" s="36">
        <v>55</v>
      </c>
      <c r="B59" s="43"/>
      <c r="C59" s="15"/>
      <c r="D59" s="15"/>
      <c r="E59" s="15"/>
      <c r="F59" s="44"/>
      <c r="G59" s="6"/>
      <c r="H59" s="6"/>
      <c r="I59" s="45"/>
      <c r="J59" s="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46" t="str">
        <f t="shared" si="3"/>
        <v/>
      </c>
      <c r="W59" s="47" t="str">
        <f t="shared" si="4"/>
        <v/>
      </c>
      <c r="X59" s="48" t="str">
        <f t="shared" si="5"/>
        <v/>
      </c>
      <c r="Y59" s="49"/>
      <c r="Z59" s="50"/>
    </row>
    <row r="60" spans="1:26" ht="19.05" customHeight="1" x14ac:dyDescent="0.3">
      <c r="A60" s="36">
        <v>56</v>
      </c>
      <c r="B60" s="53"/>
      <c r="C60" s="54"/>
      <c r="D60" s="54"/>
      <c r="E60" s="54"/>
      <c r="F60" s="44"/>
      <c r="G60" s="17"/>
      <c r="H60" s="17"/>
      <c r="I60" s="45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5" t="str">
        <f t="shared" si="3"/>
        <v/>
      </c>
      <c r="W60" s="56" t="str">
        <f t="shared" si="4"/>
        <v/>
      </c>
      <c r="X60" s="57" t="str">
        <f t="shared" si="5"/>
        <v/>
      </c>
      <c r="Y60" s="49"/>
      <c r="Z60" s="50"/>
    </row>
    <row r="61" spans="1:26" ht="19.05" customHeight="1" x14ac:dyDescent="0.3">
      <c r="A61" s="36">
        <v>57</v>
      </c>
      <c r="B61" s="43"/>
      <c r="C61" s="15"/>
      <c r="D61" s="15"/>
      <c r="E61" s="15"/>
      <c r="F61" s="44"/>
      <c r="G61" s="6"/>
      <c r="H61" s="6"/>
      <c r="I61" s="45"/>
      <c r="J61" s="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6" t="str">
        <f t="shared" si="3"/>
        <v/>
      </c>
      <c r="W61" s="47" t="str">
        <f t="shared" si="4"/>
        <v/>
      </c>
      <c r="X61" s="48" t="str">
        <f t="shared" si="5"/>
        <v/>
      </c>
      <c r="Y61" s="49"/>
      <c r="Z61" s="50"/>
    </row>
    <row r="62" spans="1:26" ht="19.05" customHeight="1" x14ac:dyDescent="0.3">
      <c r="A62" s="36">
        <v>58</v>
      </c>
      <c r="B62" s="53"/>
      <c r="C62" s="54"/>
      <c r="D62" s="54"/>
      <c r="E62" s="54"/>
      <c r="F62" s="44"/>
      <c r="G62" s="17"/>
      <c r="H62" s="17"/>
      <c r="I62" s="45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5" t="str">
        <f t="shared" si="3"/>
        <v/>
      </c>
      <c r="W62" s="56" t="str">
        <f t="shared" si="4"/>
        <v/>
      </c>
      <c r="X62" s="57" t="str">
        <f t="shared" si="5"/>
        <v/>
      </c>
      <c r="Y62" s="49"/>
      <c r="Z62" s="50"/>
    </row>
    <row r="63" spans="1:26" ht="19.05" customHeight="1" x14ac:dyDescent="0.3">
      <c r="A63" s="36">
        <v>59</v>
      </c>
      <c r="B63" s="43"/>
      <c r="C63" s="15"/>
      <c r="D63" s="15"/>
      <c r="E63" s="15"/>
      <c r="F63" s="44"/>
      <c r="G63" s="6"/>
      <c r="H63" s="6"/>
      <c r="I63" s="45"/>
      <c r="J63" s="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46" t="str">
        <f t="shared" si="3"/>
        <v/>
      </c>
      <c r="W63" s="47" t="str">
        <f t="shared" si="4"/>
        <v/>
      </c>
      <c r="X63" s="48" t="str">
        <f t="shared" si="5"/>
        <v/>
      </c>
      <c r="Y63" s="49"/>
      <c r="Z63" s="50"/>
    </row>
    <row r="64" spans="1:26" ht="19.05" customHeight="1" x14ac:dyDescent="0.3">
      <c r="A64" s="36">
        <v>60</v>
      </c>
      <c r="B64" s="53"/>
      <c r="C64" s="54"/>
      <c r="D64" s="54"/>
      <c r="E64" s="54"/>
      <c r="F64" s="44"/>
      <c r="G64" s="17"/>
      <c r="H64" s="17"/>
      <c r="I64" s="45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5" t="str">
        <f t="shared" si="3"/>
        <v/>
      </c>
      <c r="W64" s="56" t="str">
        <f t="shared" si="4"/>
        <v/>
      </c>
      <c r="X64" s="57" t="str">
        <f t="shared" si="5"/>
        <v/>
      </c>
      <c r="Y64" s="49"/>
      <c r="Z64" s="50"/>
    </row>
    <row r="65" spans="1:26" ht="19.05" customHeight="1" x14ac:dyDescent="0.3">
      <c r="A65" s="36">
        <v>61</v>
      </c>
      <c r="B65" s="43"/>
      <c r="C65" s="15"/>
      <c r="D65" s="15"/>
      <c r="E65" s="15"/>
      <c r="F65" s="44"/>
      <c r="G65" s="6"/>
      <c r="H65" s="6"/>
      <c r="I65" s="45"/>
      <c r="J65" s="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46" t="str">
        <f t="shared" si="3"/>
        <v/>
      </c>
      <c r="W65" s="47" t="str">
        <f t="shared" si="4"/>
        <v/>
      </c>
      <c r="X65" s="48" t="str">
        <f t="shared" si="5"/>
        <v/>
      </c>
      <c r="Y65" s="49"/>
      <c r="Z65" s="50"/>
    </row>
    <row r="66" spans="1:26" ht="19.05" customHeight="1" x14ac:dyDescent="0.3">
      <c r="A66" s="36">
        <v>62</v>
      </c>
      <c r="B66" s="53"/>
      <c r="C66" s="54"/>
      <c r="D66" s="54"/>
      <c r="E66" s="54"/>
      <c r="F66" s="44"/>
      <c r="G66" s="17"/>
      <c r="H66" s="17"/>
      <c r="I66" s="45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5" t="str">
        <f t="shared" si="3"/>
        <v/>
      </c>
      <c r="W66" s="56" t="str">
        <f t="shared" si="4"/>
        <v/>
      </c>
      <c r="X66" s="57" t="str">
        <f t="shared" si="5"/>
        <v/>
      </c>
      <c r="Y66" s="49"/>
      <c r="Z66" s="50"/>
    </row>
    <row r="67" spans="1:26" ht="19.05" customHeight="1" x14ac:dyDescent="0.3">
      <c r="A67" s="36">
        <v>63</v>
      </c>
      <c r="B67" s="43"/>
      <c r="C67" s="15"/>
      <c r="D67" s="15"/>
      <c r="E67" s="15"/>
      <c r="F67" s="44"/>
      <c r="G67" s="6"/>
      <c r="H67" s="6"/>
      <c r="I67" s="45"/>
      <c r="J67" s="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46" t="str">
        <f t="shared" si="3"/>
        <v/>
      </c>
      <c r="W67" s="47" t="str">
        <f t="shared" si="4"/>
        <v/>
      </c>
      <c r="X67" s="48" t="str">
        <f t="shared" si="5"/>
        <v/>
      </c>
      <c r="Y67" s="49"/>
      <c r="Z67" s="50"/>
    </row>
    <row r="68" spans="1:26" ht="19.05" customHeight="1" x14ac:dyDescent="0.3">
      <c r="A68" s="36">
        <v>64</v>
      </c>
      <c r="B68" s="53"/>
      <c r="C68" s="54"/>
      <c r="D68" s="54"/>
      <c r="E68" s="54"/>
      <c r="F68" s="44"/>
      <c r="G68" s="17"/>
      <c r="H68" s="17"/>
      <c r="I68" s="45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5" t="str">
        <f t="shared" si="3"/>
        <v/>
      </c>
      <c r="W68" s="56" t="str">
        <f t="shared" si="4"/>
        <v/>
      </c>
      <c r="X68" s="57" t="str">
        <f t="shared" si="5"/>
        <v/>
      </c>
      <c r="Y68" s="49"/>
      <c r="Z68" s="50"/>
    </row>
    <row r="69" spans="1:26" ht="19.05" customHeight="1" x14ac:dyDescent="0.3">
      <c r="A69" s="36">
        <v>65</v>
      </c>
      <c r="B69" s="43"/>
      <c r="C69" s="15"/>
      <c r="D69" s="15"/>
      <c r="E69" s="15"/>
      <c r="F69" s="44"/>
      <c r="G69" s="6"/>
      <c r="H69" s="6"/>
      <c r="I69" s="45"/>
      <c r="J69" s="6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46" t="str">
        <f t="shared" ref="V69:V100" si="6">IF(F69="Own",IFERROR(IFERROR(G69,0)+IFERROR(H69,0)+IFERROR(J69,0),0),IF(F69="Rented",IFERROR(IFERROR(H69,0)+IFERROR(N69,0),0),""))</f>
        <v/>
      </c>
      <c r="W69" s="47" t="str">
        <f t="shared" ref="W69:W100" si="7">IF(F69="Own",IFERROR(IFERROR(K69,0)+IFERROR(L69,0)+IFERROR(M69,0)+IFERROR(N69,0)+IFERROR(O69,0)+IFERROR(P69,0)+IFERROR(Q69,0)+IFERROR(R69,0)+IFERROR(S69,0)+IFERROR(T69,0)+IFERROR(U69,0),0),IF(F69="Rented",0,""))</f>
        <v/>
      </c>
      <c r="X69" s="48" t="str">
        <f t="shared" ref="X69:X100" si="8">IF(F69="Own",IFERROR(V69-W69,0),IF(F69="Rented",IFERROR(V69,0),""))</f>
        <v/>
      </c>
      <c r="Y69" s="49"/>
      <c r="Z69" s="50"/>
    </row>
    <row r="70" spans="1:26" ht="19.05" customHeight="1" x14ac:dyDescent="0.3">
      <c r="A70" s="36">
        <v>66</v>
      </c>
      <c r="B70" s="53"/>
      <c r="C70" s="54"/>
      <c r="D70" s="54"/>
      <c r="E70" s="54"/>
      <c r="F70" s="44"/>
      <c r="G70" s="17"/>
      <c r="H70" s="17"/>
      <c r="I70" s="45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5" t="str">
        <f t="shared" si="6"/>
        <v/>
      </c>
      <c r="W70" s="56" t="str">
        <f t="shared" si="7"/>
        <v/>
      </c>
      <c r="X70" s="57" t="str">
        <f t="shared" si="8"/>
        <v/>
      </c>
      <c r="Y70" s="49"/>
      <c r="Z70" s="50"/>
    </row>
    <row r="71" spans="1:26" ht="19.05" customHeight="1" x14ac:dyDescent="0.3">
      <c r="A71" s="36">
        <v>67</v>
      </c>
      <c r="B71" s="43"/>
      <c r="C71" s="15"/>
      <c r="D71" s="15"/>
      <c r="E71" s="15"/>
      <c r="F71" s="44"/>
      <c r="G71" s="6"/>
      <c r="H71" s="6"/>
      <c r="I71" s="45"/>
      <c r="J71" s="6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46" t="str">
        <f t="shared" si="6"/>
        <v/>
      </c>
      <c r="W71" s="47" t="str">
        <f t="shared" si="7"/>
        <v/>
      </c>
      <c r="X71" s="48" t="str">
        <f t="shared" si="8"/>
        <v/>
      </c>
      <c r="Y71" s="49"/>
      <c r="Z71" s="50"/>
    </row>
    <row r="72" spans="1:26" ht="19.05" customHeight="1" x14ac:dyDescent="0.3">
      <c r="A72" s="36">
        <v>68</v>
      </c>
      <c r="B72" s="53"/>
      <c r="C72" s="54"/>
      <c r="D72" s="54"/>
      <c r="E72" s="54"/>
      <c r="F72" s="44"/>
      <c r="G72" s="17"/>
      <c r="H72" s="17"/>
      <c r="I72" s="45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5" t="str">
        <f t="shared" si="6"/>
        <v/>
      </c>
      <c r="W72" s="56" t="str">
        <f t="shared" si="7"/>
        <v/>
      </c>
      <c r="X72" s="57" t="str">
        <f t="shared" si="8"/>
        <v/>
      </c>
      <c r="Y72" s="49"/>
      <c r="Z72" s="50"/>
    </row>
    <row r="73" spans="1:26" ht="19.05" customHeight="1" x14ac:dyDescent="0.3">
      <c r="A73" s="36">
        <v>69</v>
      </c>
      <c r="B73" s="43"/>
      <c r="C73" s="15"/>
      <c r="D73" s="15"/>
      <c r="E73" s="15"/>
      <c r="F73" s="44"/>
      <c r="G73" s="6"/>
      <c r="H73" s="6"/>
      <c r="I73" s="45"/>
      <c r="J73" s="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46" t="str">
        <f t="shared" si="6"/>
        <v/>
      </c>
      <c r="W73" s="47" t="str">
        <f t="shared" si="7"/>
        <v/>
      </c>
      <c r="X73" s="48" t="str">
        <f t="shared" si="8"/>
        <v/>
      </c>
      <c r="Y73" s="49"/>
      <c r="Z73" s="50"/>
    </row>
    <row r="74" spans="1:26" ht="19.05" customHeight="1" x14ac:dyDescent="0.3">
      <c r="A74" s="36">
        <v>70</v>
      </c>
      <c r="B74" s="53"/>
      <c r="C74" s="54"/>
      <c r="D74" s="54"/>
      <c r="E74" s="54"/>
      <c r="F74" s="44"/>
      <c r="G74" s="17"/>
      <c r="H74" s="17"/>
      <c r="I74" s="45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5" t="str">
        <f t="shared" si="6"/>
        <v/>
      </c>
      <c r="W74" s="56" t="str">
        <f t="shared" si="7"/>
        <v/>
      </c>
      <c r="X74" s="57" t="str">
        <f t="shared" si="8"/>
        <v/>
      </c>
      <c r="Y74" s="49"/>
      <c r="Z74" s="50"/>
    </row>
    <row r="75" spans="1:26" ht="19.05" customHeight="1" x14ac:dyDescent="0.3">
      <c r="A75" s="36">
        <v>71</v>
      </c>
      <c r="B75" s="43"/>
      <c r="C75" s="15"/>
      <c r="D75" s="15"/>
      <c r="E75" s="15"/>
      <c r="F75" s="44"/>
      <c r="G75" s="6"/>
      <c r="H75" s="6"/>
      <c r="I75" s="45"/>
      <c r="J75" s="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6" t="str">
        <f t="shared" si="6"/>
        <v/>
      </c>
      <c r="W75" s="47" t="str">
        <f t="shared" si="7"/>
        <v/>
      </c>
      <c r="X75" s="48" t="str">
        <f t="shared" si="8"/>
        <v/>
      </c>
      <c r="Y75" s="49"/>
      <c r="Z75" s="50"/>
    </row>
    <row r="76" spans="1:26" ht="19.05" customHeight="1" x14ac:dyDescent="0.3">
      <c r="A76" s="36">
        <v>72</v>
      </c>
      <c r="B76" s="53"/>
      <c r="C76" s="54"/>
      <c r="D76" s="54"/>
      <c r="E76" s="54"/>
      <c r="F76" s="44"/>
      <c r="G76" s="17"/>
      <c r="H76" s="17"/>
      <c r="I76" s="45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5" t="str">
        <f t="shared" si="6"/>
        <v/>
      </c>
      <c r="W76" s="56" t="str">
        <f t="shared" si="7"/>
        <v/>
      </c>
      <c r="X76" s="57" t="str">
        <f t="shared" si="8"/>
        <v/>
      </c>
      <c r="Y76" s="49"/>
      <c r="Z76" s="50"/>
    </row>
    <row r="77" spans="1:26" ht="19.05" customHeight="1" x14ac:dyDescent="0.3">
      <c r="A77" s="36">
        <v>73</v>
      </c>
      <c r="B77" s="43"/>
      <c r="C77" s="15"/>
      <c r="D77" s="15"/>
      <c r="E77" s="15"/>
      <c r="F77" s="44"/>
      <c r="G77" s="6"/>
      <c r="H77" s="6"/>
      <c r="I77" s="45"/>
      <c r="J77" s="6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46" t="str">
        <f t="shared" si="6"/>
        <v/>
      </c>
      <c r="W77" s="47" t="str">
        <f t="shared" si="7"/>
        <v/>
      </c>
      <c r="X77" s="48" t="str">
        <f t="shared" si="8"/>
        <v/>
      </c>
      <c r="Y77" s="49"/>
      <c r="Z77" s="50"/>
    </row>
    <row r="78" spans="1:26" ht="19.05" customHeight="1" x14ac:dyDescent="0.3">
      <c r="A78" s="36">
        <v>74</v>
      </c>
      <c r="B78" s="53"/>
      <c r="C78" s="54"/>
      <c r="D78" s="54"/>
      <c r="E78" s="54"/>
      <c r="F78" s="44"/>
      <c r="G78" s="17"/>
      <c r="H78" s="17"/>
      <c r="I78" s="45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5" t="str">
        <f t="shared" si="6"/>
        <v/>
      </c>
      <c r="W78" s="56" t="str">
        <f t="shared" si="7"/>
        <v/>
      </c>
      <c r="X78" s="57" t="str">
        <f t="shared" si="8"/>
        <v/>
      </c>
      <c r="Y78" s="49"/>
      <c r="Z78" s="50"/>
    </row>
    <row r="79" spans="1:26" ht="19.05" customHeight="1" x14ac:dyDescent="0.3">
      <c r="A79" s="36">
        <v>75</v>
      </c>
      <c r="B79" s="43"/>
      <c r="C79" s="15"/>
      <c r="D79" s="15"/>
      <c r="E79" s="15"/>
      <c r="F79" s="44"/>
      <c r="G79" s="6"/>
      <c r="H79" s="6"/>
      <c r="I79" s="45"/>
      <c r="J79" s="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46" t="str">
        <f t="shared" si="6"/>
        <v/>
      </c>
      <c r="W79" s="47" t="str">
        <f t="shared" si="7"/>
        <v/>
      </c>
      <c r="X79" s="48" t="str">
        <f t="shared" si="8"/>
        <v/>
      </c>
      <c r="Y79" s="49"/>
      <c r="Z79" s="50"/>
    </row>
    <row r="80" spans="1:26" ht="19.05" customHeight="1" x14ac:dyDescent="0.3">
      <c r="A80" s="36">
        <v>76</v>
      </c>
      <c r="B80" s="53"/>
      <c r="C80" s="54"/>
      <c r="D80" s="54"/>
      <c r="E80" s="54"/>
      <c r="F80" s="44"/>
      <c r="G80" s="17"/>
      <c r="H80" s="17"/>
      <c r="I80" s="45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5" t="str">
        <f t="shared" si="6"/>
        <v/>
      </c>
      <c r="W80" s="56" t="str">
        <f t="shared" si="7"/>
        <v/>
      </c>
      <c r="X80" s="57" t="str">
        <f t="shared" si="8"/>
        <v/>
      </c>
      <c r="Y80" s="49"/>
      <c r="Z80" s="50"/>
    </row>
    <row r="81" spans="1:26" ht="19.05" customHeight="1" x14ac:dyDescent="0.3">
      <c r="A81" s="36">
        <v>77</v>
      </c>
      <c r="B81" s="43"/>
      <c r="C81" s="15"/>
      <c r="D81" s="15"/>
      <c r="E81" s="15"/>
      <c r="F81" s="44"/>
      <c r="G81" s="6"/>
      <c r="H81" s="6"/>
      <c r="I81" s="45"/>
      <c r="J81" s="6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46" t="str">
        <f t="shared" si="6"/>
        <v/>
      </c>
      <c r="W81" s="47" t="str">
        <f t="shared" si="7"/>
        <v/>
      </c>
      <c r="X81" s="48" t="str">
        <f t="shared" si="8"/>
        <v/>
      </c>
      <c r="Y81" s="49"/>
      <c r="Z81" s="50"/>
    </row>
    <row r="82" spans="1:26" ht="19.05" customHeight="1" x14ac:dyDescent="0.3">
      <c r="A82" s="36">
        <v>78</v>
      </c>
      <c r="B82" s="53"/>
      <c r="C82" s="54"/>
      <c r="D82" s="54"/>
      <c r="E82" s="54"/>
      <c r="F82" s="44"/>
      <c r="G82" s="17"/>
      <c r="H82" s="17"/>
      <c r="I82" s="45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5" t="str">
        <f t="shared" si="6"/>
        <v/>
      </c>
      <c r="W82" s="56" t="str">
        <f t="shared" si="7"/>
        <v/>
      </c>
      <c r="X82" s="57" t="str">
        <f t="shared" si="8"/>
        <v/>
      </c>
      <c r="Y82" s="49"/>
      <c r="Z82" s="50"/>
    </row>
    <row r="83" spans="1:26" ht="19.05" customHeight="1" x14ac:dyDescent="0.3">
      <c r="A83" s="36">
        <v>79</v>
      </c>
      <c r="B83" s="43"/>
      <c r="C83" s="15"/>
      <c r="D83" s="15"/>
      <c r="E83" s="15"/>
      <c r="F83" s="44"/>
      <c r="G83" s="6"/>
      <c r="H83" s="6"/>
      <c r="I83" s="45"/>
      <c r="J83" s="6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46" t="str">
        <f t="shared" si="6"/>
        <v/>
      </c>
      <c r="W83" s="47" t="str">
        <f t="shared" si="7"/>
        <v/>
      </c>
      <c r="X83" s="48" t="str">
        <f t="shared" si="8"/>
        <v/>
      </c>
      <c r="Y83" s="49"/>
      <c r="Z83" s="50"/>
    </row>
    <row r="84" spans="1:26" ht="19.05" customHeight="1" x14ac:dyDescent="0.3">
      <c r="A84" s="36">
        <v>80</v>
      </c>
      <c r="B84" s="53"/>
      <c r="C84" s="54"/>
      <c r="D84" s="54"/>
      <c r="E84" s="54"/>
      <c r="F84" s="44"/>
      <c r="G84" s="17"/>
      <c r="H84" s="17"/>
      <c r="I84" s="45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5" t="str">
        <f t="shared" si="6"/>
        <v/>
      </c>
      <c r="W84" s="56" t="str">
        <f t="shared" si="7"/>
        <v/>
      </c>
      <c r="X84" s="57" t="str">
        <f t="shared" si="8"/>
        <v/>
      </c>
      <c r="Y84" s="49"/>
      <c r="Z84" s="50"/>
    </row>
    <row r="85" spans="1:26" ht="19.05" customHeight="1" x14ac:dyDescent="0.3">
      <c r="A85" s="36">
        <v>81</v>
      </c>
      <c r="B85" s="43"/>
      <c r="C85" s="15"/>
      <c r="D85" s="15"/>
      <c r="E85" s="15"/>
      <c r="F85" s="44"/>
      <c r="G85" s="6"/>
      <c r="H85" s="6"/>
      <c r="I85" s="45"/>
      <c r="J85" s="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46" t="str">
        <f t="shared" si="6"/>
        <v/>
      </c>
      <c r="W85" s="47" t="str">
        <f t="shared" si="7"/>
        <v/>
      </c>
      <c r="X85" s="48" t="str">
        <f t="shared" si="8"/>
        <v/>
      </c>
      <c r="Y85" s="49"/>
      <c r="Z85" s="50"/>
    </row>
    <row r="86" spans="1:26" ht="19.05" customHeight="1" x14ac:dyDescent="0.3">
      <c r="A86" s="36">
        <v>82</v>
      </c>
      <c r="B86" s="53"/>
      <c r="C86" s="54"/>
      <c r="D86" s="54"/>
      <c r="E86" s="54"/>
      <c r="F86" s="44"/>
      <c r="G86" s="17"/>
      <c r="H86" s="17"/>
      <c r="I86" s="45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5" t="str">
        <f t="shared" si="6"/>
        <v/>
      </c>
      <c r="W86" s="56" t="str">
        <f t="shared" si="7"/>
        <v/>
      </c>
      <c r="X86" s="57" t="str">
        <f t="shared" si="8"/>
        <v/>
      </c>
      <c r="Y86" s="49"/>
      <c r="Z86" s="50"/>
    </row>
    <row r="87" spans="1:26" ht="19.05" customHeight="1" x14ac:dyDescent="0.3">
      <c r="A87" s="36">
        <v>83</v>
      </c>
      <c r="B87" s="43"/>
      <c r="C87" s="15"/>
      <c r="D87" s="15"/>
      <c r="E87" s="15"/>
      <c r="F87" s="44"/>
      <c r="G87" s="6"/>
      <c r="H87" s="6"/>
      <c r="I87" s="45"/>
      <c r="J87" s="6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46" t="str">
        <f t="shared" si="6"/>
        <v/>
      </c>
      <c r="W87" s="47" t="str">
        <f t="shared" si="7"/>
        <v/>
      </c>
      <c r="X87" s="48" t="str">
        <f t="shared" si="8"/>
        <v/>
      </c>
      <c r="Y87" s="49"/>
      <c r="Z87" s="50"/>
    </row>
    <row r="88" spans="1:26" ht="19.05" customHeight="1" x14ac:dyDescent="0.3">
      <c r="A88" s="36">
        <v>84</v>
      </c>
      <c r="B88" s="53"/>
      <c r="C88" s="54"/>
      <c r="D88" s="54"/>
      <c r="E88" s="54"/>
      <c r="F88" s="44"/>
      <c r="G88" s="17"/>
      <c r="H88" s="17"/>
      <c r="I88" s="45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5" t="str">
        <f t="shared" si="6"/>
        <v/>
      </c>
      <c r="W88" s="56" t="str">
        <f t="shared" si="7"/>
        <v/>
      </c>
      <c r="X88" s="57" t="str">
        <f t="shared" si="8"/>
        <v/>
      </c>
      <c r="Y88" s="49"/>
      <c r="Z88" s="50"/>
    </row>
    <row r="89" spans="1:26" ht="19.05" customHeight="1" x14ac:dyDescent="0.3">
      <c r="A89" s="36">
        <v>85</v>
      </c>
      <c r="B89" s="43"/>
      <c r="C89" s="15"/>
      <c r="D89" s="15"/>
      <c r="E89" s="15"/>
      <c r="F89" s="44"/>
      <c r="G89" s="6"/>
      <c r="H89" s="6"/>
      <c r="I89" s="45"/>
      <c r="J89" s="6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46" t="str">
        <f t="shared" si="6"/>
        <v/>
      </c>
      <c r="W89" s="47" t="str">
        <f t="shared" si="7"/>
        <v/>
      </c>
      <c r="X89" s="48" t="str">
        <f t="shared" si="8"/>
        <v/>
      </c>
      <c r="Y89" s="49"/>
      <c r="Z89" s="50"/>
    </row>
    <row r="90" spans="1:26" ht="19.05" customHeight="1" x14ac:dyDescent="0.3">
      <c r="A90" s="36">
        <v>86</v>
      </c>
      <c r="B90" s="53"/>
      <c r="C90" s="54"/>
      <c r="D90" s="54"/>
      <c r="E90" s="54"/>
      <c r="F90" s="44"/>
      <c r="G90" s="17"/>
      <c r="H90" s="17"/>
      <c r="I90" s="45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5" t="str">
        <f t="shared" si="6"/>
        <v/>
      </c>
      <c r="W90" s="56" t="str">
        <f t="shared" si="7"/>
        <v/>
      </c>
      <c r="X90" s="57" t="str">
        <f t="shared" si="8"/>
        <v/>
      </c>
      <c r="Y90" s="49"/>
      <c r="Z90" s="50"/>
    </row>
    <row r="91" spans="1:26" ht="19.05" customHeight="1" x14ac:dyDescent="0.3">
      <c r="A91" s="36">
        <v>87</v>
      </c>
      <c r="B91" s="43"/>
      <c r="C91" s="15"/>
      <c r="D91" s="15"/>
      <c r="E91" s="15"/>
      <c r="F91" s="44"/>
      <c r="G91" s="6"/>
      <c r="H91" s="6"/>
      <c r="I91" s="45"/>
      <c r="J91" s="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46" t="str">
        <f t="shared" si="6"/>
        <v/>
      </c>
      <c r="W91" s="47" t="str">
        <f t="shared" si="7"/>
        <v/>
      </c>
      <c r="X91" s="48" t="str">
        <f t="shared" si="8"/>
        <v/>
      </c>
      <c r="Y91" s="49"/>
      <c r="Z91" s="50"/>
    </row>
    <row r="92" spans="1:26" ht="19.05" customHeight="1" x14ac:dyDescent="0.3">
      <c r="A92" s="36">
        <v>88</v>
      </c>
      <c r="B92" s="53"/>
      <c r="C92" s="54"/>
      <c r="D92" s="54"/>
      <c r="E92" s="54"/>
      <c r="F92" s="44"/>
      <c r="G92" s="17"/>
      <c r="H92" s="17"/>
      <c r="I92" s="45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5" t="str">
        <f t="shared" si="6"/>
        <v/>
      </c>
      <c r="W92" s="56" t="str">
        <f t="shared" si="7"/>
        <v/>
      </c>
      <c r="X92" s="57" t="str">
        <f t="shared" si="8"/>
        <v/>
      </c>
      <c r="Y92" s="49"/>
      <c r="Z92" s="50"/>
    </row>
    <row r="93" spans="1:26" ht="19.05" customHeight="1" x14ac:dyDescent="0.3">
      <c r="A93" s="36">
        <v>89</v>
      </c>
      <c r="B93" s="43"/>
      <c r="C93" s="15"/>
      <c r="D93" s="15"/>
      <c r="E93" s="15"/>
      <c r="F93" s="44"/>
      <c r="G93" s="6"/>
      <c r="H93" s="6"/>
      <c r="I93" s="45"/>
      <c r="J93" s="6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46" t="str">
        <f t="shared" si="6"/>
        <v/>
      </c>
      <c r="W93" s="47" t="str">
        <f t="shared" si="7"/>
        <v/>
      </c>
      <c r="X93" s="48" t="str">
        <f t="shared" si="8"/>
        <v/>
      </c>
      <c r="Y93" s="49"/>
      <c r="Z93" s="50"/>
    </row>
    <row r="94" spans="1:26" ht="19.05" customHeight="1" x14ac:dyDescent="0.3">
      <c r="A94" s="36">
        <v>90</v>
      </c>
      <c r="B94" s="53"/>
      <c r="C94" s="54"/>
      <c r="D94" s="54"/>
      <c r="E94" s="54"/>
      <c r="F94" s="44"/>
      <c r="G94" s="17"/>
      <c r="H94" s="17"/>
      <c r="I94" s="45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5" t="str">
        <f t="shared" si="6"/>
        <v/>
      </c>
      <c r="W94" s="56" t="str">
        <f t="shared" si="7"/>
        <v/>
      </c>
      <c r="X94" s="57" t="str">
        <f t="shared" si="8"/>
        <v/>
      </c>
      <c r="Y94" s="49"/>
      <c r="Z94" s="50"/>
    </row>
    <row r="95" spans="1:26" ht="19.05" customHeight="1" x14ac:dyDescent="0.3">
      <c r="A95" s="36">
        <v>91</v>
      </c>
      <c r="B95" s="43"/>
      <c r="C95" s="15"/>
      <c r="D95" s="15"/>
      <c r="E95" s="15"/>
      <c r="F95" s="44"/>
      <c r="G95" s="6"/>
      <c r="H95" s="6"/>
      <c r="I95" s="45"/>
      <c r="J95" s="6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46" t="str">
        <f t="shared" si="6"/>
        <v/>
      </c>
      <c r="W95" s="47" t="str">
        <f t="shared" si="7"/>
        <v/>
      </c>
      <c r="X95" s="48" t="str">
        <f t="shared" si="8"/>
        <v/>
      </c>
      <c r="Y95" s="49"/>
      <c r="Z95" s="50"/>
    </row>
    <row r="96" spans="1:26" ht="19.05" customHeight="1" x14ac:dyDescent="0.3">
      <c r="A96" s="36">
        <v>92</v>
      </c>
      <c r="B96" s="53"/>
      <c r="C96" s="54"/>
      <c r="D96" s="54"/>
      <c r="E96" s="54"/>
      <c r="F96" s="44"/>
      <c r="G96" s="17"/>
      <c r="H96" s="17"/>
      <c r="I96" s="45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5" t="str">
        <f t="shared" si="6"/>
        <v/>
      </c>
      <c r="W96" s="56" t="str">
        <f t="shared" si="7"/>
        <v/>
      </c>
      <c r="X96" s="57" t="str">
        <f t="shared" si="8"/>
        <v/>
      </c>
      <c r="Y96" s="49"/>
      <c r="Z96" s="50"/>
    </row>
    <row r="97" spans="1:26" ht="19.05" customHeight="1" x14ac:dyDescent="0.3">
      <c r="A97" s="36">
        <v>93</v>
      </c>
      <c r="B97" s="43"/>
      <c r="C97" s="15"/>
      <c r="D97" s="15"/>
      <c r="E97" s="15"/>
      <c r="F97" s="44"/>
      <c r="G97" s="6"/>
      <c r="H97" s="6"/>
      <c r="I97" s="45"/>
      <c r="J97" s="6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46" t="str">
        <f t="shared" si="6"/>
        <v/>
      </c>
      <c r="W97" s="47" t="str">
        <f t="shared" si="7"/>
        <v/>
      </c>
      <c r="X97" s="48" t="str">
        <f t="shared" si="8"/>
        <v/>
      </c>
      <c r="Y97" s="49"/>
      <c r="Z97" s="50"/>
    </row>
    <row r="98" spans="1:26" ht="19.05" customHeight="1" x14ac:dyDescent="0.3">
      <c r="A98" s="36">
        <v>94</v>
      </c>
      <c r="B98" s="53"/>
      <c r="C98" s="54"/>
      <c r="D98" s="54"/>
      <c r="E98" s="54"/>
      <c r="F98" s="44"/>
      <c r="G98" s="17"/>
      <c r="H98" s="17"/>
      <c r="I98" s="45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5" t="str">
        <f t="shared" si="6"/>
        <v/>
      </c>
      <c r="W98" s="56" t="str">
        <f t="shared" si="7"/>
        <v/>
      </c>
      <c r="X98" s="57" t="str">
        <f t="shared" si="8"/>
        <v/>
      </c>
      <c r="Y98" s="49"/>
      <c r="Z98" s="50"/>
    </row>
    <row r="99" spans="1:26" ht="19.05" customHeight="1" x14ac:dyDescent="0.3">
      <c r="A99" s="36">
        <v>95</v>
      </c>
      <c r="B99" s="43"/>
      <c r="C99" s="15"/>
      <c r="D99" s="15"/>
      <c r="E99" s="15"/>
      <c r="F99" s="44"/>
      <c r="G99" s="6"/>
      <c r="H99" s="6"/>
      <c r="I99" s="45"/>
      <c r="J99" s="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46" t="str">
        <f t="shared" si="6"/>
        <v/>
      </c>
      <c r="W99" s="47" t="str">
        <f t="shared" si="7"/>
        <v/>
      </c>
      <c r="X99" s="48" t="str">
        <f t="shared" si="8"/>
        <v/>
      </c>
      <c r="Y99" s="49"/>
      <c r="Z99" s="50"/>
    </row>
    <row r="100" spans="1:26" ht="19.05" customHeight="1" x14ac:dyDescent="0.3">
      <c r="A100" s="36">
        <v>96</v>
      </c>
      <c r="B100" s="53"/>
      <c r="C100" s="54"/>
      <c r="D100" s="54"/>
      <c r="E100" s="54"/>
      <c r="F100" s="44"/>
      <c r="G100" s="17"/>
      <c r="H100" s="17"/>
      <c r="I100" s="45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5" t="str">
        <f t="shared" si="6"/>
        <v/>
      </c>
      <c r="W100" s="56" t="str">
        <f t="shared" si="7"/>
        <v/>
      </c>
      <c r="X100" s="57" t="str">
        <f t="shared" si="8"/>
        <v/>
      </c>
      <c r="Y100" s="49"/>
      <c r="Z100" s="50"/>
    </row>
    <row r="101" spans="1:26" ht="19.05" customHeight="1" x14ac:dyDescent="0.3">
      <c r="A101" s="36">
        <v>97</v>
      </c>
      <c r="B101" s="43"/>
      <c r="C101" s="15"/>
      <c r="D101" s="15"/>
      <c r="E101" s="15"/>
      <c r="F101" s="44"/>
      <c r="G101" s="6"/>
      <c r="H101" s="6"/>
      <c r="I101" s="45"/>
      <c r="J101" s="6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46" t="str">
        <f t="shared" ref="V101:V115" si="9">IF(F101="Own",IFERROR(IFERROR(G101,0)+IFERROR(H101,0)+IFERROR(J101,0),0),IF(F101="Rented",IFERROR(IFERROR(H101,0)+IFERROR(N101,0),0),""))</f>
        <v/>
      </c>
      <c r="W101" s="47" t="str">
        <f t="shared" ref="W101:W115" si="10">IF(F101="Own",IFERROR(IFERROR(K101,0)+IFERROR(L101,0)+IFERROR(M101,0)+IFERROR(N101,0)+IFERROR(O101,0)+IFERROR(P101,0)+IFERROR(Q101,0)+IFERROR(R101,0)+IFERROR(S101,0)+IFERROR(T101,0)+IFERROR(U101,0),0),IF(F101="Rented",0,""))</f>
        <v/>
      </c>
      <c r="X101" s="48" t="str">
        <f t="shared" ref="X101:X132" si="11">IF(F101="Own",IFERROR(V101-W101,0),IF(F101="Rented",IFERROR(V101,0),""))</f>
        <v/>
      </c>
      <c r="Y101" s="49"/>
      <c r="Z101" s="50"/>
    </row>
    <row r="102" spans="1:26" ht="19.05" customHeight="1" x14ac:dyDescent="0.3">
      <c r="A102" s="36">
        <v>98</v>
      </c>
      <c r="B102" s="53"/>
      <c r="C102" s="54"/>
      <c r="D102" s="54"/>
      <c r="E102" s="54"/>
      <c r="F102" s="44"/>
      <c r="G102" s="17"/>
      <c r="H102" s="17"/>
      <c r="I102" s="45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5" t="str">
        <f t="shared" si="9"/>
        <v/>
      </c>
      <c r="W102" s="56" t="str">
        <f t="shared" si="10"/>
        <v/>
      </c>
      <c r="X102" s="57" t="str">
        <f t="shared" si="11"/>
        <v/>
      </c>
      <c r="Y102" s="49"/>
      <c r="Z102" s="50"/>
    </row>
    <row r="103" spans="1:26" ht="19.05" customHeight="1" x14ac:dyDescent="0.3">
      <c r="A103" s="36">
        <v>99</v>
      </c>
      <c r="B103" s="43"/>
      <c r="C103" s="15"/>
      <c r="D103" s="15"/>
      <c r="E103" s="15"/>
      <c r="F103" s="44"/>
      <c r="G103" s="6"/>
      <c r="H103" s="6"/>
      <c r="I103" s="45"/>
      <c r="J103" s="6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46" t="str">
        <f t="shared" si="9"/>
        <v/>
      </c>
      <c r="W103" s="47" t="str">
        <f t="shared" si="10"/>
        <v/>
      </c>
      <c r="X103" s="48" t="str">
        <f t="shared" si="11"/>
        <v/>
      </c>
      <c r="Y103" s="49"/>
      <c r="Z103" s="50"/>
    </row>
    <row r="104" spans="1:26" ht="19.05" customHeight="1" x14ac:dyDescent="0.3">
      <c r="A104" s="36">
        <v>100</v>
      </c>
      <c r="B104" s="53"/>
      <c r="C104" s="54"/>
      <c r="D104" s="54"/>
      <c r="E104" s="54"/>
      <c r="F104" s="44"/>
      <c r="G104" s="17"/>
      <c r="H104" s="17"/>
      <c r="I104" s="45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5" t="str">
        <f t="shared" si="9"/>
        <v/>
      </c>
      <c r="W104" s="56" t="str">
        <f t="shared" si="10"/>
        <v/>
      </c>
      <c r="X104" s="57" t="str">
        <f t="shared" si="11"/>
        <v/>
      </c>
      <c r="Y104" s="49"/>
      <c r="Z104" s="50"/>
    </row>
    <row r="105" spans="1:26" ht="19.05" customHeight="1" x14ac:dyDescent="0.3">
      <c r="A105" s="36">
        <v>101</v>
      </c>
      <c r="B105" s="43"/>
      <c r="C105" s="15"/>
      <c r="D105" s="15"/>
      <c r="E105" s="15"/>
      <c r="F105" s="44"/>
      <c r="G105" s="6"/>
      <c r="H105" s="6"/>
      <c r="I105" s="45"/>
      <c r="J105" s="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6" t="str">
        <f t="shared" si="9"/>
        <v/>
      </c>
      <c r="W105" s="47" t="str">
        <f t="shared" si="10"/>
        <v/>
      </c>
      <c r="X105" s="48" t="str">
        <f t="shared" si="11"/>
        <v/>
      </c>
      <c r="Y105" s="49"/>
      <c r="Z105" s="50"/>
    </row>
    <row r="106" spans="1:26" ht="19.05" customHeight="1" x14ac:dyDescent="0.3">
      <c r="A106" s="36">
        <v>102</v>
      </c>
      <c r="B106" s="53"/>
      <c r="C106" s="54"/>
      <c r="D106" s="54"/>
      <c r="E106" s="54"/>
      <c r="F106" s="44"/>
      <c r="G106" s="17"/>
      <c r="H106" s="17"/>
      <c r="I106" s="45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5" t="str">
        <f t="shared" si="9"/>
        <v/>
      </c>
      <c r="W106" s="56" t="str">
        <f t="shared" si="10"/>
        <v/>
      </c>
      <c r="X106" s="57" t="str">
        <f t="shared" si="11"/>
        <v/>
      </c>
      <c r="Y106" s="49"/>
      <c r="Z106" s="50"/>
    </row>
    <row r="107" spans="1:26" ht="19.05" customHeight="1" x14ac:dyDescent="0.3">
      <c r="A107" s="36">
        <v>103</v>
      </c>
      <c r="B107" s="43"/>
      <c r="C107" s="15"/>
      <c r="D107" s="15"/>
      <c r="E107" s="15"/>
      <c r="F107" s="44"/>
      <c r="G107" s="6"/>
      <c r="H107" s="6"/>
      <c r="I107" s="45"/>
      <c r="J107" s="6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46" t="str">
        <f t="shared" si="9"/>
        <v/>
      </c>
      <c r="W107" s="47" t="str">
        <f t="shared" si="10"/>
        <v/>
      </c>
      <c r="X107" s="48" t="str">
        <f t="shared" si="11"/>
        <v/>
      </c>
      <c r="Y107" s="49"/>
      <c r="Z107" s="50"/>
    </row>
    <row r="108" spans="1:26" ht="19.05" customHeight="1" x14ac:dyDescent="0.3">
      <c r="A108" s="36">
        <v>104</v>
      </c>
      <c r="B108" s="53"/>
      <c r="C108" s="54"/>
      <c r="D108" s="54"/>
      <c r="E108" s="54"/>
      <c r="F108" s="44"/>
      <c r="G108" s="17"/>
      <c r="H108" s="17"/>
      <c r="I108" s="45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5" t="str">
        <f t="shared" si="9"/>
        <v/>
      </c>
      <c r="W108" s="56" t="str">
        <f t="shared" si="10"/>
        <v/>
      </c>
      <c r="X108" s="57" t="str">
        <f t="shared" si="11"/>
        <v/>
      </c>
      <c r="Y108" s="49"/>
      <c r="Z108" s="50"/>
    </row>
    <row r="109" spans="1:26" ht="19.05" customHeight="1" x14ac:dyDescent="0.3">
      <c r="A109" s="36">
        <v>105</v>
      </c>
      <c r="B109" s="43"/>
      <c r="C109" s="15"/>
      <c r="D109" s="15"/>
      <c r="E109" s="15"/>
      <c r="F109" s="44"/>
      <c r="G109" s="6"/>
      <c r="H109" s="6"/>
      <c r="I109" s="45"/>
      <c r="J109" s="6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46" t="str">
        <f t="shared" si="9"/>
        <v/>
      </c>
      <c r="W109" s="47" t="str">
        <f t="shared" si="10"/>
        <v/>
      </c>
      <c r="X109" s="48" t="str">
        <f t="shared" si="11"/>
        <v/>
      </c>
      <c r="Y109" s="49"/>
      <c r="Z109" s="50"/>
    </row>
    <row r="110" spans="1:26" ht="19.05" customHeight="1" x14ac:dyDescent="0.3">
      <c r="A110" s="36">
        <v>106</v>
      </c>
      <c r="B110" s="53"/>
      <c r="C110" s="54"/>
      <c r="D110" s="54"/>
      <c r="E110" s="54"/>
      <c r="F110" s="44"/>
      <c r="G110" s="17"/>
      <c r="H110" s="17"/>
      <c r="I110" s="45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5" t="str">
        <f t="shared" si="9"/>
        <v/>
      </c>
      <c r="W110" s="56" t="str">
        <f t="shared" si="10"/>
        <v/>
      </c>
      <c r="X110" s="57" t="str">
        <f t="shared" si="11"/>
        <v/>
      </c>
      <c r="Y110" s="49"/>
      <c r="Z110" s="50"/>
    </row>
    <row r="111" spans="1:26" ht="19.05" customHeight="1" x14ac:dyDescent="0.3">
      <c r="A111" s="36">
        <v>107</v>
      </c>
      <c r="B111" s="43"/>
      <c r="C111" s="15"/>
      <c r="D111" s="15"/>
      <c r="E111" s="15"/>
      <c r="F111" s="44"/>
      <c r="G111" s="6"/>
      <c r="H111" s="6"/>
      <c r="I111" s="45"/>
      <c r="J111" s="6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46" t="str">
        <f t="shared" si="9"/>
        <v/>
      </c>
      <c r="W111" s="47" t="str">
        <f t="shared" si="10"/>
        <v/>
      </c>
      <c r="X111" s="48" t="str">
        <f t="shared" si="11"/>
        <v/>
      </c>
      <c r="Y111" s="49"/>
      <c r="Z111" s="50"/>
    </row>
    <row r="112" spans="1:26" ht="19.05" customHeight="1" x14ac:dyDescent="0.3">
      <c r="A112" s="36">
        <v>108</v>
      </c>
      <c r="B112" s="53"/>
      <c r="C112" s="54"/>
      <c r="D112" s="54"/>
      <c r="E112" s="54"/>
      <c r="F112" s="44"/>
      <c r="G112" s="17"/>
      <c r="H112" s="17"/>
      <c r="I112" s="45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5" t="str">
        <f t="shared" si="9"/>
        <v/>
      </c>
      <c r="W112" s="56" t="str">
        <f t="shared" si="10"/>
        <v/>
      </c>
      <c r="X112" s="57" t="str">
        <f t="shared" si="11"/>
        <v/>
      </c>
      <c r="Y112" s="49"/>
      <c r="Z112" s="50"/>
    </row>
    <row r="113" spans="1:28" ht="19.05" customHeight="1" x14ac:dyDescent="0.3">
      <c r="A113" s="36">
        <v>109</v>
      </c>
      <c r="B113" s="43"/>
      <c r="C113" s="15"/>
      <c r="D113" s="15"/>
      <c r="E113" s="15"/>
      <c r="F113" s="44"/>
      <c r="G113" s="6"/>
      <c r="H113" s="6"/>
      <c r="I113" s="45"/>
      <c r="J113" s="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46" t="str">
        <f t="shared" si="9"/>
        <v/>
      </c>
      <c r="W113" s="47" t="str">
        <f t="shared" si="10"/>
        <v/>
      </c>
      <c r="X113" s="48" t="str">
        <f t="shared" si="11"/>
        <v/>
      </c>
      <c r="Y113" s="49"/>
      <c r="Z113" s="50"/>
    </row>
    <row r="114" spans="1:28" ht="19.05" customHeight="1" x14ac:dyDescent="0.3">
      <c r="A114" s="36">
        <v>110</v>
      </c>
      <c r="B114" s="53"/>
      <c r="C114" s="54"/>
      <c r="D114" s="54"/>
      <c r="E114" s="54"/>
      <c r="F114" s="44"/>
      <c r="G114" s="17"/>
      <c r="H114" s="17"/>
      <c r="I114" s="45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5" t="str">
        <f t="shared" si="9"/>
        <v/>
      </c>
      <c r="W114" s="56" t="str">
        <f t="shared" si="10"/>
        <v/>
      </c>
      <c r="X114" s="57" t="str">
        <f t="shared" si="11"/>
        <v/>
      </c>
      <c r="Y114" s="49"/>
      <c r="Z114" s="50"/>
    </row>
    <row r="115" spans="1:28" ht="19.05" customHeight="1" x14ac:dyDescent="0.3">
      <c r="A115" s="36">
        <v>111</v>
      </c>
      <c r="B115" s="43"/>
      <c r="C115" s="15"/>
      <c r="D115" s="15"/>
      <c r="E115" s="15"/>
      <c r="F115" s="44"/>
      <c r="G115" s="6"/>
      <c r="H115" s="6"/>
      <c r="I115" s="45"/>
      <c r="J115" s="6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46" t="str">
        <f t="shared" si="9"/>
        <v/>
      </c>
      <c r="W115" s="47" t="str">
        <f t="shared" si="10"/>
        <v/>
      </c>
      <c r="X115" s="48" t="str">
        <f t="shared" si="11"/>
        <v/>
      </c>
      <c r="Y115" s="49"/>
      <c r="Z115" s="50"/>
    </row>
    <row r="116" spans="1:28" ht="24" customHeight="1" x14ac:dyDescent="0.3">
      <c r="A116" s="120" t="s">
        <v>134</v>
      </c>
      <c r="B116" s="94"/>
      <c r="C116" s="94"/>
      <c r="D116" s="94"/>
      <c r="E116" s="94"/>
      <c r="F116" s="94"/>
      <c r="G116" s="61">
        <f t="shared" ref="G116:X116" si="12">IFERROR(SUM(G5:G115),0)</f>
        <v>0</v>
      </c>
      <c r="H116" s="61">
        <f t="shared" si="12"/>
        <v>0</v>
      </c>
      <c r="I116" s="62">
        <f t="shared" si="12"/>
        <v>0</v>
      </c>
      <c r="J116" s="61">
        <f t="shared" si="12"/>
        <v>0</v>
      </c>
      <c r="K116" s="62">
        <f t="shared" si="12"/>
        <v>0</v>
      </c>
      <c r="L116" s="62">
        <f t="shared" si="12"/>
        <v>0</v>
      </c>
      <c r="M116" s="62">
        <f t="shared" si="12"/>
        <v>0</v>
      </c>
      <c r="N116" s="62">
        <f t="shared" si="12"/>
        <v>0</v>
      </c>
      <c r="O116" s="62">
        <f t="shared" si="12"/>
        <v>0</v>
      </c>
      <c r="P116" s="62">
        <f t="shared" si="12"/>
        <v>0</v>
      </c>
      <c r="Q116" s="62">
        <f t="shared" si="12"/>
        <v>0</v>
      </c>
      <c r="R116" s="62">
        <f t="shared" si="12"/>
        <v>0</v>
      </c>
      <c r="S116" s="62">
        <f t="shared" si="12"/>
        <v>0</v>
      </c>
      <c r="T116" s="62">
        <f t="shared" si="12"/>
        <v>0</v>
      </c>
      <c r="U116" s="62">
        <f t="shared" si="12"/>
        <v>0</v>
      </c>
      <c r="V116" s="63">
        <f t="shared" si="12"/>
        <v>0</v>
      </c>
      <c r="W116" s="63">
        <f t="shared" si="12"/>
        <v>0</v>
      </c>
      <c r="X116" s="63">
        <f t="shared" si="12"/>
        <v>0</v>
      </c>
      <c r="Y116" s="64" t="str">
        <f>COUNTA(C5:C115)&amp;" trips"</f>
        <v>0 trips</v>
      </c>
      <c r="AA116" s="65" t="s">
        <v>135</v>
      </c>
      <c r="AB116" s="66">
        <f>IFERROR(SUM(AB5:AB27),0)</f>
        <v>0</v>
      </c>
    </row>
    <row r="118" spans="1:28" ht="22.05" customHeight="1" x14ac:dyDescent="0.3">
      <c r="A118" s="123" t="s">
        <v>136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</row>
    <row r="119" spans="1:28" x14ac:dyDescent="0.3">
      <c r="A119" s="26"/>
      <c r="B119" s="26" t="s">
        <v>137</v>
      </c>
      <c r="C119" s="26" t="s">
        <v>138</v>
      </c>
      <c r="D119" s="26" t="s">
        <v>5</v>
      </c>
      <c r="E119" s="26" t="s">
        <v>6</v>
      </c>
      <c r="F119" s="26" t="s">
        <v>15</v>
      </c>
      <c r="G119" s="26" t="s">
        <v>8</v>
      </c>
      <c r="H119" s="26" t="s">
        <v>139</v>
      </c>
      <c r="I119" s="26" t="s">
        <v>16</v>
      </c>
    </row>
    <row r="120" spans="1:28" x14ac:dyDescent="0.3">
      <c r="A120" s="67"/>
      <c r="B120" s="68" t="s">
        <v>140</v>
      </c>
      <c r="C120" s="69">
        <f>IFERROR(SUMIF(F5:F115,"Own",G5:G115),0)</f>
        <v>0</v>
      </c>
      <c r="D120" s="69">
        <f>IFERROR(SUMIF(F5:F115,"Own",H5:H115),0)</f>
        <v>0</v>
      </c>
      <c r="E120" s="69">
        <f>IFERROR(SUMIF(F5:F115,"Own",J5:J115),0)</f>
        <v>0</v>
      </c>
      <c r="F120" s="70">
        <f>IFERROR(SUMIF(F5:F115,"Own",I5:I115),0)</f>
        <v>0</v>
      </c>
      <c r="G120" s="69">
        <f>IFERROR(SUMIF(F5:F115,"Own",W5:W115),0)</f>
        <v>0</v>
      </c>
      <c r="H120" s="71">
        <f>IFERROR(SUMIF(F5:F115,"Own",X5:X115),0)</f>
        <v>0</v>
      </c>
      <c r="I120" s="31">
        <f>IFERROR(COUNTIF(F5:F115,"Own"),0)</f>
        <v>0</v>
      </c>
    </row>
    <row r="121" spans="1:28" x14ac:dyDescent="0.3">
      <c r="A121" s="72"/>
      <c r="B121" s="73" t="s">
        <v>141</v>
      </c>
      <c r="C121" s="74">
        <f>IFERROR(SUMIF(F5:F115,"Rented",G5:G115),0)</f>
        <v>0</v>
      </c>
      <c r="D121" s="74">
        <f>IFERROR(SUMIF(F5:F115,"Rented",H5:H115),0)</f>
        <v>0</v>
      </c>
      <c r="E121" s="74">
        <f>IFERROR(SUMIF(F5:F115,"Rented",J5:J115),0)</f>
        <v>0</v>
      </c>
      <c r="F121" s="75">
        <f>IFERROR(SUMIF(F5:F115,"Rented",I5:I115),0)</f>
        <v>0</v>
      </c>
      <c r="G121" s="74">
        <f>IFERROR(SUMIF(F5:F115,"Rented",W5:W115),0)</f>
        <v>0</v>
      </c>
      <c r="H121" s="76">
        <f>IFERROR(SUMIF(F5:F115,"Rented",X5:X115),0)</f>
        <v>0</v>
      </c>
      <c r="I121" s="77">
        <f>IFERROR(COUNTIF(F5:F115,"Rented"),0)</f>
        <v>0</v>
      </c>
    </row>
    <row r="122" spans="1:28" ht="22.05" customHeight="1" x14ac:dyDescent="0.3">
      <c r="A122" s="78"/>
      <c r="B122" s="60" t="s">
        <v>142</v>
      </c>
      <c r="C122" s="22">
        <f t="shared" ref="C122:I122" si="13">C120+C121</f>
        <v>0</v>
      </c>
      <c r="D122" s="22">
        <f t="shared" si="13"/>
        <v>0</v>
      </c>
      <c r="E122" s="22">
        <f t="shared" si="13"/>
        <v>0</v>
      </c>
      <c r="F122" s="22">
        <f t="shared" si="13"/>
        <v>0</v>
      </c>
      <c r="G122" s="22">
        <f t="shared" si="13"/>
        <v>0</v>
      </c>
      <c r="H122" s="23">
        <f t="shared" si="13"/>
        <v>0</v>
      </c>
      <c r="I122" s="79">
        <f t="shared" si="13"/>
        <v>0</v>
      </c>
    </row>
    <row r="124" spans="1:28" ht="22.05" customHeight="1" x14ac:dyDescent="0.3">
      <c r="A124" s="119" t="s">
        <v>207</v>
      </c>
      <c r="B124" s="94"/>
      <c r="C124" s="94"/>
      <c r="D124" s="94"/>
      <c r="E124" s="94"/>
      <c r="F124" s="94"/>
      <c r="G124" s="94"/>
      <c r="H124" s="94"/>
      <c r="I124" s="94"/>
      <c r="J124" s="94"/>
    </row>
    <row r="125" spans="1:28" ht="18" customHeight="1" x14ac:dyDescent="0.3">
      <c r="A125" s="115" t="s">
        <v>144</v>
      </c>
      <c r="B125" s="94"/>
      <c r="C125" s="94"/>
      <c r="D125" s="94"/>
      <c r="E125" s="94"/>
      <c r="F125" s="94"/>
      <c r="G125" s="94"/>
      <c r="H125" s="80" t="s">
        <v>145</v>
      </c>
      <c r="I125" s="115" t="s">
        <v>146</v>
      </c>
      <c r="J125" s="94"/>
    </row>
    <row r="126" spans="1:28" ht="19.95" customHeight="1" x14ac:dyDescent="0.3">
      <c r="A126" s="121" t="s">
        <v>147</v>
      </c>
      <c r="B126" s="94"/>
      <c r="C126" s="94"/>
      <c r="D126" s="94"/>
      <c r="E126" s="94"/>
      <c r="F126" s="94"/>
      <c r="G126" s="94"/>
      <c r="H126" s="94"/>
      <c r="I126" s="94"/>
      <c r="J126" s="94"/>
    </row>
    <row r="127" spans="1:28" ht="19.95" customHeight="1" x14ac:dyDescent="0.3">
      <c r="A127" s="110" t="s">
        <v>148</v>
      </c>
      <c r="B127" s="94"/>
      <c r="C127" s="94"/>
      <c r="D127" s="94"/>
      <c r="E127" s="94"/>
      <c r="F127" s="94"/>
      <c r="G127" s="94"/>
      <c r="H127" s="81">
        <f>G116</f>
        <v>0</v>
      </c>
      <c r="I127" s="106" t="s">
        <v>149</v>
      </c>
      <c r="J127" s="94"/>
    </row>
    <row r="128" spans="1:28" ht="19.95" customHeight="1" x14ac:dyDescent="0.3">
      <c r="A128" s="110" t="s">
        <v>150</v>
      </c>
      <c r="B128" s="94"/>
      <c r="C128" s="94"/>
      <c r="D128" s="94"/>
      <c r="E128" s="94"/>
      <c r="F128" s="94"/>
      <c r="G128" s="94"/>
      <c r="H128" s="81">
        <f>H116</f>
        <v>0</v>
      </c>
      <c r="I128" s="106" t="s">
        <v>151</v>
      </c>
      <c r="J128" s="94"/>
    </row>
    <row r="129" spans="1:10" ht="19.95" customHeight="1" x14ac:dyDescent="0.3">
      <c r="A129" s="110" t="s">
        <v>152</v>
      </c>
      <c r="B129" s="94"/>
      <c r="C129" s="94"/>
      <c r="D129" s="94"/>
      <c r="E129" s="94"/>
      <c r="F129" s="94"/>
      <c r="G129" s="94"/>
      <c r="H129" s="81">
        <f>J116</f>
        <v>0</v>
      </c>
      <c r="I129" s="106" t="s">
        <v>153</v>
      </c>
      <c r="J129" s="94"/>
    </row>
    <row r="130" spans="1:10" ht="22.05" customHeight="1" x14ac:dyDescent="0.3">
      <c r="A130" s="121" t="s">
        <v>154</v>
      </c>
      <c r="B130" s="94"/>
      <c r="C130" s="94"/>
      <c r="D130" s="94"/>
      <c r="E130" s="94"/>
      <c r="F130" s="94"/>
      <c r="G130" s="94"/>
      <c r="H130" s="61">
        <f>IFERROR(H127+H128+H129,0)</f>
        <v>0</v>
      </c>
      <c r="I130" s="126"/>
      <c r="J130" s="94"/>
    </row>
    <row r="132" spans="1:10" ht="19.95" customHeight="1" x14ac:dyDescent="0.3">
      <c r="A132" s="108" t="s">
        <v>155</v>
      </c>
      <c r="B132" s="94"/>
      <c r="C132" s="94"/>
      <c r="D132" s="94"/>
      <c r="E132" s="94"/>
      <c r="F132" s="94"/>
      <c r="G132" s="94"/>
      <c r="H132" s="94"/>
      <c r="I132" s="94"/>
      <c r="J132" s="94"/>
    </row>
    <row r="133" spans="1:10" ht="19.95" customHeight="1" x14ac:dyDescent="0.3">
      <c r="A133" s="111" t="s">
        <v>156</v>
      </c>
      <c r="B133" s="94"/>
      <c r="C133" s="94"/>
      <c r="D133" s="94"/>
      <c r="E133" s="94"/>
      <c r="F133" s="94"/>
      <c r="G133" s="94"/>
      <c r="H133" s="94"/>
      <c r="I133" s="94"/>
      <c r="J133" s="94"/>
    </row>
    <row r="134" spans="1:10" ht="19.95" customHeight="1" x14ac:dyDescent="0.3">
      <c r="A134" s="102" t="s">
        <v>157</v>
      </c>
      <c r="B134" s="94"/>
      <c r="C134" s="94"/>
      <c r="D134" s="94"/>
      <c r="E134" s="94"/>
      <c r="F134" s="94"/>
      <c r="G134" s="94"/>
      <c r="H134" s="82">
        <f>K116</f>
        <v>0</v>
      </c>
      <c r="I134" s="104" t="s">
        <v>158</v>
      </c>
      <c r="J134" s="94"/>
    </row>
    <row r="135" spans="1:10" ht="19.95" customHeight="1" x14ac:dyDescent="0.3">
      <c r="A135" s="102" t="s">
        <v>159</v>
      </c>
      <c r="B135" s="94"/>
      <c r="C135" s="94"/>
      <c r="D135" s="94"/>
      <c r="E135" s="94"/>
      <c r="F135" s="94"/>
      <c r="G135" s="94"/>
      <c r="H135" s="82">
        <f>L116</f>
        <v>0</v>
      </c>
      <c r="I135" s="104" t="s">
        <v>160</v>
      </c>
      <c r="J135" s="94"/>
    </row>
    <row r="136" spans="1:10" ht="19.95" customHeight="1" x14ac:dyDescent="0.3">
      <c r="A136" s="102" t="s">
        <v>161</v>
      </c>
      <c r="B136" s="94"/>
      <c r="C136" s="94"/>
      <c r="D136" s="94"/>
      <c r="E136" s="94"/>
      <c r="F136" s="94"/>
      <c r="G136" s="94"/>
      <c r="H136" s="82">
        <f>M116</f>
        <v>0</v>
      </c>
      <c r="I136" s="104" t="s">
        <v>162</v>
      </c>
      <c r="J136" s="94"/>
    </row>
    <row r="137" spans="1:10" ht="19.95" customHeight="1" x14ac:dyDescent="0.3">
      <c r="A137" s="102" t="s">
        <v>163</v>
      </c>
      <c r="B137" s="94"/>
      <c r="C137" s="94"/>
      <c r="D137" s="94"/>
      <c r="E137" s="94"/>
      <c r="F137" s="94"/>
      <c r="G137" s="94"/>
      <c r="H137" s="82">
        <f>N116</f>
        <v>0</v>
      </c>
      <c r="I137" s="104" t="s">
        <v>164</v>
      </c>
      <c r="J137" s="94"/>
    </row>
    <row r="138" spans="1:10" ht="19.95" customHeight="1" x14ac:dyDescent="0.3">
      <c r="A138" s="102" t="s">
        <v>165</v>
      </c>
      <c r="B138" s="94"/>
      <c r="C138" s="94"/>
      <c r="D138" s="94"/>
      <c r="E138" s="94"/>
      <c r="F138" s="94"/>
      <c r="G138" s="94"/>
      <c r="H138" s="82">
        <f>O116</f>
        <v>0</v>
      </c>
      <c r="I138" s="104" t="s">
        <v>166</v>
      </c>
      <c r="J138" s="94"/>
    </row>
    <row r="139" spans="1:10" ht="19.95" customHeight="1" x14ac:dyDescent="0.3">
      <c r="A139" s="102" t="s">
        <v>167</v>
      </c>
      <c r="B139" s="94"/>
      <c r="C139" s="94"/>
      <c r="D139" s="94"/>
      <c r="E139" s="94"/>
      <c r="F139" s="94"/>
      <c r="G139" s="94"/>
      <c r="H139" s="82">
        <f>P116</f>
        <v>0</v>
      </c>
      <c r="I139" s="104"/>
      <c r="J139" s="94"/>
    </row>
    <row r="140" spans="1:10" ht="19.95" customHeight="1" x14ac:dyDescent="0.3">
      <c r="A140" s="102" t="s">
        <v>168</v>
      </c>
      <c r="B140" s="94"/>
      <c r="C140" s="94"/>
      <c r="D140" s="94"/>
      <c r="E140" s="94"/>
      <c r="F140" s="94"/>
      <c r="G140" s="94"/>
      <c r="H140" s="82">
        <f>Q116</f>
        <v>0</v>
      </c>
      <c r="I140" s="104"/>
      <c r="J140" s="94"/>
    </row>
    <row r="141" spans="1:10" ht="19.95" customHeight="1" x14ac:dyDescent="0.3">
      <c r="A141" s="102" t="s">
        <v>169</v>
      </c>
      <c r="B141" s="94"/>
      <c r="C141" s="94"/>
      <c r="D141" s="94"/>
      <c r="E141" s="94"/>
      <c r="F141" s="94"/>
      <c r="G141" s="94"/>
      <c r="H141" s="82">
        <f>R116</f>
        <v>0</v>
      </c>
      <c r="I141" s="104"/>
      <c r="J141" s="94"/>
    </row>
    <row r="142" spans="1:10" ht="19.95" customHeight="1" x14ac:dyDescent="0.3">
      <c r="A142" s="102" t="s">
        <v>170</v>
      </c>
      <c r="B142" s="94"/>
      <c r="C142" s="94"/>
      <c r="D142" s="94"/>
      <c r="E142" s="94"/>
      <c r="F142" s="94"/>
      <c r="G142" s="94"/>
      <c r="H142" s="82">
        <f>S116</f>
        <v>0</v>
      </c>
      <c r="I142" s="104"/>
      <c r="J142" s="94"/>
    </row>
    <row r="143" spans="1:10" ht="19.95" customHeight="1" x14ac:dyDescent="0.3">
      <c r="A143" s="102" t="s">
        <v>171</v>
      </c>
      <c r="B143" s="94"/>
      <c r="C143" s="94"/>
      <c r="D143" s="94"/>
      <c r="E143" s="94"/>
      <c r="F143" s="94"/>
      <c r="G143" s="94"/>
      <c r="H143" s="82">
        <f>T116</f>
        <v>0</v>
      </c>
      <c r="I143" s="104"/>
      <c r="J143" s="94"/>
    </row>
    <row r="144" spans="1:10" ht="19.95" customHeight="1" x14ac:dyDescent="0.3">
      <c r="A144" s="102" t="s">
        <v>172</v>
      </c>
      <c r="B144" s="94"/>
      <c r="C144" s="94"/>
      <c r="D144" s="94"/>
      <c r="E144" s="94"/>
      <c r="F144" s="94"/>
      <c r="G144" s="94"/>
      <c r="H144" s="82">
        <f>U116</f>
        <v>0</v>
      </c>
      <c r="I144" s="104"/>
      <c r="J144" s="94"/>
    </row>
    <row r="145" spans="1:10" ht="19.95" customHeight="1" x14ac:dyDescent="0.3">
      <c r="A145" s="112" t="s">
        <v>173</v>
      </c>
      <c r="B145" s="94"/>
      <c r="C145" s="94"/>
      <c r="D145" s="94"/>
      <c r="E145" s="94"/>
      <c r="F145" s="94"/>
      <c r="G145" s="94"/>
      <c r="H145" s="83">
        <f>IFERROR(H134+H135+H136+H137+H138+H139+H140+H141+H142+H143+H144,0)</f>
        <v>0</v>
      </c>
      <c r="I145" s="105" t="s">
        <v>174</v>
      </c>
      <c r="J145" s="94"/>
    </row>
    <row r="146" spans="1:10" ht="19.95" customHeight="1" x14ac:dyDescent="0.3">
      <c r="A146" s="111" t="s">
        <v>175</v>
      </c>
      <c r="B146" s="94"/>
      <c r="C146" s="94"/>
      <c r="D146" s="94"/>
      <c r="E146" s="94"/>
      <c r="F146" s="94"/>
      <c r="G146" s="94"/>
      <c r="H146" s="94"/>
      <c r="I146" s="94"/>
      <c r="J146" s="94"/>
    </row>
    <row r="147" spans="1:10" ht="19.05" customHeight="1" x14ac:dyDescent="0.3">
      <c r="A147" s="102" t="str">
        <f>"    "&amp;Settings!B32</f>
        <v xml:space="preserve">    Diesel MLP / Bulk</v>
      </c>
      <c r="B147" s="94"/>
      <c r="C147" s="94"/>
      <c r="D147" s="94"/>
      <c r="E147" s="94"/>
      <c r="F147" s="94"/>
      <c r="G147" s="94"/>
      <c r="H147" s="84">
        <f t="shared" ref="H147:H169" si="14">IFERROR(AB5,0)</f>
        <v>0</v>
      </c>
      <c r="I147" s="101"/>
      <c r="J147" s="94"/>
    </row>
    <row r="148" spans="1:10" ht="19.05" customHeight="1" x14ac:dyDescent="0.3">
      <c r="A148" s="102" t="str">
        <f>"    "&amp;Settings!B33</f>
        <v xml:space="preserve">    Driver Salaries</v>
      </c>
      <c r="B148" s="94"/>
      <c r="C148" s="94"/>
      <c r="D148" s="94"/>
      <c r="E148" s="94"/>
      <c r="F148" s="94"/>
      <c r="G148" s="94"/>
      <c r="H148" s="84">
        <f t="shared" si="14"/>
        <v>0</v>
      </c>
      <c r="I148" s="101"/>
      <c r="J148" s="94"/>
    </row>
    <row r="149" spans="1:10" ht="19.05" customHeight="1" x14ac:dyDescent="0.3">
      <c r="A149" s="102" t="str">
        <f>"    "&amp;Settings!B34</f>
        <v xml:space="preserve">    Vehicle EMI - 7195</v>
      </c>
      <c r="B149" s="94"/>
      <c r="C149" s="94"/>
      <c r="D149" s="94"/>
      <c r="E149" s="94"/>
      <c r="F149" s="94"/>
      <c r="G149" s="94"/>
      <c r="H149" s="84">
        <f t="shared" si="14"/>
        <v>0</v>
      </c>
      <c r="I149" s="101"/>
      <c r="J149" s="94"/>
    </row>
    <row r="150" spans="1:10" ht="19.05" customHeight="1" x14ac:dyDescent="0.3">
      <c r="A150" s="102" t="str">
        <f>"    "&amp;Settings!B35</f>
        <v xml:space="preserve">    Vehicle EMI - 4608</v>
      </c>
      <c r="B150" s="94"/>
      <c r="C150" s="94"/>
      <c r="D150" s="94"/>
      <c r="E150" s="94"/>
      <c r="F150" s="94"/>
      <c r="G150" s="94"/>
      <c r="H150" s="84">
        <f t="shared" si="14"/>
        <v>0</v>
      </c>
      <c r="I150" s="101"/>
      <c r="J150" s="94"/>
    </row>
    <row r="151" spans="1:10" ht="19.05" customHeight="1" x14ac:dyDescent="0.3">
      <c r="A151" s="102" t="str">
        <f>"    "&amp;Settings!B36</f>
        <v xml:space="preserve">    Vehicle EMI - 6421</v>
      </c>
      <c r="B151" s="94"/>
      <c r="C151" s="94"/>
      <c r="D151" s="94"/>
      <c r="E151" s="94"/>
      <c r="F151" s="94"/>
      <c r="G151" s="94"/>
      <c r="H151" s="84">
        <f t="shared" si="14"/>
        <v>0</v>
      </c>
      <c r="I151" s="101"/>
      <c r="J151" s="94"/>
    </row>
    <row r="152" spans="1:10" ht="19.05" customHeight="1" x14ac:dyDescent="0.3">
      <c r="A152" s="102" t="str">
        <f>"    "&amp;Settings!B37</f>
        <v xml:space="preserve">    Vehicle EMI - 8660</v>
      </c>
      <c r="B152" s="94"/>
      <c r="C152" s="94"/>
      <c r="D152" s="94"/>
      <c r="E152" s="94"/>
      <c r="F152" s="94"/>
      <c r="G152" s="94"/>
      <c r="H152" s="84">
        <f t="shared" si="14"/>
        <v>0</v>
      </c>
      <c r="I152" s="101"/>
      <c r="J152" s="94"/>
    </row>
    <row r="153" spans="1:10" ht="19.05" customHeight="1" x14ac:dyDescent="0.3">
      <c r="A153" s="102" t="str">
        <f>"    "&amp;Settings!B38</f>
        <v xml:space="preserve">    Vehicle EMI - 1288</v>
      </c>
      <c r="B153" s="94"/>
      <c r="C153" s="94"/>
      <c r="D153" s="94"/>
      <c r="E153" s="94"/>
      <c r="F153" s="94"/>
      <c r="G153" s="94"/>
      <c r="H153" s="84">
        <f t="shared" si="14"/>
        <v>0</v>
      </c>
      <c r="I153" s="101"/>
      <c r="J153" s="94"/>
    </row>
    <row r="154" spans="1:10" ht="19.05" customHeight="1" x14ac:dyDescent="0.3">
      <c r="A154" s="102" t="str">
        <f>"    "&amp;Settings!B39</f>
        <v xml:space="preserve">    Vehicle EMI - 262</v>
      </c>
      <c r="B154" s="94"/>
      <c r="C154" s="94"/>
      <c r="D154" s="94"/>
      <c r="E154" s="94"/>
      <c r="F154" s="94"/>
      <c r="G154" s="94"/>
      <c r="H154" s="84">
        <f t="shared" si="14"/>
        <v>0</v>
      </c>
      <c r="I154" s="101"/>
      <c r="J154" s="94"/>
    </row>
    <row r="155" spans="1:10" ht="19.05" customHeight="1" x14ac:dyDescent="0.3">
      <c r="A155" s="102" t="str">
        <f>"    "&amp;Settings!B40</f>
        <v xml:space="preserve">    Vehicle EMI - New Vehicle</v>
      </c>
      <c r="B155" s="94"/>
      <c r="C155" s="94"/>
      <c r="D155" s="94"/>
      <c r="E155" s="94"/>
      <c r="F155" s="94"/>
      <c r="G155" s="94"/>
      <c r="H155" s="84">
        <f t="shared" si="14"/>
        <v>0</v>
      </c>
      <c r="I155" s="101"/>
      <c r="J155" s="94"/>
    </row>
    <row r="156" spans="1:10" ht="19.05" customHeight="1" x14ac:dyDescent="0.3">
      <c r="A156" s="102" t="str">
        <f>"    "&amp;Settings!B41</f>
        <v xml:space="preserve">    Vehicle Maintenance</v>
      </c>
      <c r="B156" s="94"/>
      <c r="C156" s="94"/>
      <c r="D156" s="94"/>
      <c r="E156" s="94"/>
      <c r="F156" s="94"/>
      <c r="G156" s="94"/>
      <c r="H156" s="84">
        <f t="shared" si="14"/>
        <v>0</v>
      </c>
      <c r="I156" s="101"/>
      <c r="J156" s="94"/>
    </row>
    <row r="157" spans="1:10" ht="19.05" customHeight="1" x14ac:dyDescent="0.3">
      <c r="A157" s="102" t="str">
        <f>"    "&amp;Settings!B42</f>
        <v xml:space="preserve">    Shop Rent</v>
      </c>
      <c r="B157" s="94"/>
      <c r="C157" s="94"/>
      <c r="D157" s="94"/>
      <c r="E157" s="94"/>
      <c r="F157" s="94"/>
      <c r="G157" s="94"/>
      <c r="H157" s="84">
        <f t="shared" si="14"/>
        <v>0</v>
      </c>
      <c r="I157" s="101"/>
      <c r="J157" s="94"/>
    </row>
    <row r="158" spans="1:10" ht="19.05" customHeight="1" x14ac:dyDescent="0.3">
      <c r="A158" s="102" t="str">
        <f>"    "&amp;Settings!B43</f>
        <v xml:space="preserve">    Electricity &amp; Bills</v>
      </c>
      <c r="B158" s="94"/>
      <c r="C158" s="94"/>
      <c r="D158" s="94"/>
      <c r="E158" s="94"/>
      <c r="F158" s="94"/>
      <c r="G158" s="94"/>
      <c r="H158" s="84">
        <f t="shared" si="14"/>
        <v>0</v>
      </c>
      <c r="I158" s="101"/>
      <c r="J158" s="94"/>
    </row>
    <row r="159" spans="1:10" ht="19.05" customHeight="1" x14ac:dyDescent="0.3">
      <c r="A159" s="102" t="str">
        <f>"    "&amp;Settings!B44</f>
        <v xml:space="preserve">    Chits / Pigmy</v>
      </c>
      <c r="B159" s="94"/>
      <c r="C159" s="94"/>
      <c r="D159" s="94"/>
      <c r="E159" s="94"/>
      <c r="F159" s="94"/>
      <c r="G159" s="94"/>
      <c r="H159" s="84">
        <f t="shared" si="14"/>
        <v>0</v>
      </c>
      <c r="I159" s="101"/>
      <c r="J159" s="94"/>
    </row>
    <row r="160" spans="1:10" ht="19.05" customHeight="1" x14ac:dyDescent="0.3">
      <c r="A160" s="102" t="str">
        <f>"    "&amp;Settings!B45</f>
        <v xml:space="preserve">    LR Printing &amp; Stationery</v>
      </c>
      <c r="B160" s="94"/>
      <c r="C160" s="94"/>
      <c r="D160" s="94"/>
      <c r="E160" s="94"/>
      <c r="F160" s="94"/>
      <c r="G160" s="94"/>
      <c r="H160" s="84">
        <f t="shared" si="14"/>
        <v>0</v>
      </c>
      <c r="I160" s="101"/>
      <c r="J160" s="94"/>
    </row>
    <row r="161" spans="1:10" ht="19.05" customHeight="1" x14ac:dyDescent="0.3">
      <c r="A161" s="102" t="str">
        <f>"    "&amp;Settings!B46</f>
        <v xml:space="preserve">    Tea / Snacks / Food</v>
      </c>
      <c r="B161" s="94"/>
      <c r="C161" s="94"/>
      <c r="D161" s="94"/>
      <c r="E161" s="94"/>
      <c r="F161" s="94"/>
      <c r="G161" s="94"/>
      <c r="H161" s="84">
        <f t="shared" si="14"/>
        <v>0</v>
      </c>
      <c r="I161" s="101"/>
      <c r="J161" s="94"/>
    </row>
    <row r="162" spans="1:10" ht="19.05" customHeight="1" x14ac:dyDescent="0.3">
      <c r="A162" s="102" t="str">
        <f>"    "&amp;Settings!B47</f>
        <v xml:space="preserve">    Commission (Office)</v>
      </c>
      <c r="B162" s="94"/>
      <c r="C162" s="94"/>
      <c r="D162" s="94"/>
      <c r="E162" s="94"/>
      <c r="F162" s="94"/>
      <c r="G162" s="94"/>
      <c r="H162" s="84">
        <f t="shared" si="14"/>
        <v>0</v>
      </c>
      <c r="I162" s="101"/>
      <c r="J162" s="94"/>
    </row>
    <row r="163" spans="1:10" ht="19.05" customHeight="1" x14ac:dyDescent="0.3">
      <c r="A163" s="102" t="str">
        <f>"    "&amp;Settings!B48</f>
        <v xml:space="preserve">    Profit Encashment</v>
      </c>
      <c r="B163" s="94"/>
      <c r="C163" s="94"/>
      <c r="D163" s="94"/>
      <c r="E163" s="94"/>
      <c r="F163" s="94"/>
      <c r="G163" s="94"/>
      <c r="H163" s="84">
        <f t="shared" si="14"/>
        <v>0</v>
      </c>
      <c r="I163" s="101"/>
      <c r="J163" s="94"/>
    </row>
    <row r="164" spans="1:10" ht="19.05" customHeight="1" x14ac:dyDescent="0.3">
      <c r="A164" s="102" t="str">
        <f>"    "&amp;Settings!B49</f>
        <v xml:space="preserve">    Misc 1</v>
      </c>
      <c r="B164" s="94"/>
      <c r="C164" s="94"/>
      <c r="D164" s="94"/>
      <c r="E164" s="94"/>
      <c r="F164" s="94"/>
      <c r="G164" s="94"/>
      <c r="H164" s="84">
        <f t="shared" si="14"/>
        <v>0</v>
      </c>
      <c r="I164" s="101"/>
      <c r="J164" s="94"/>
    </row>
    <row r="165" spans="1:10" ht="19.05" customHeight="1" x14ac:dyDescent="0.3">
      <c r="A165" s="102" t="str">
        <f>"    "&amp;Settings!B50</f>
        <v xml:space="preserve">    Misc 2</v>
      </c>
      <c r="B165" s="94"/>
      <c r="C165" s="94"/>
      <c r="D165" s="94"/>
      <c r="E165" s="94"/>
      <c r="F165" s="94"/>
      <c r="G165" s="94"/>
      <c r="H165" s="84">
        <f t="shared" si="14"/>
        <v>0</v>
      </c>
      <c r="I165" s="101"/>
      <c r="J165" s="94"/>
    </row>
    <row r="166" spans="1:10" ht="19.05" customHeight="1" x14ac:dyDescent="0.3">
      <c r="A166" s="102" t="str">
        <f>"    "&amp;Settings!B51</f>
        <v xml:space="preserve">    Misc 3</v>
      </c>
      <c r="B166" s="94"/>
      <c r="C166" s="94"/>
      <c r="D166" s="94"/>
      <c r="E166" s="94"/>
      <c r="F166" s="94"/>
      <c r="G166" s="94"/>
      <c r="H166" s="84">
        <f t="shared" si="14"/>
        <v>0</v>
      </c>
      <c r="I166" s="101"/>
      <c r="J166" s="94"/>
    </row>
    <row r="167" spans="1:10" ht="19.05" customHeight="1" x14ac:dyDescent="0.3">
      <c r="A167" s="102" t="str">
        <f>"    "&amp;Settings!B52</f>
        <v xml:space="preserve">    Misc 4</v>
      </c>
      <c r="B167" s="94"/>
      <c r="C167" s="94"/>
      <c r="D167" s="94"/>
      <c r="E167" s="94"/>
      <c r="F167" s="94"/>
      <c r="G167" s="94"/>
      <c r="H167" s="84">
        <f t="shared" si="14"/>
        <v>0</v>
      </c>
      <c r="I167" s="101"/>
      <c r="J167" s="94"/>
    </row>
    <row r="168" spans="1:10" ht="19.05" customHeight="1" x14ac:dyDescent="0.3">
      <c r="A168" s="102" t="str">
        <f>"    "&amp;Settings!B53</f>
        <v xml:space="preserve">    Misc 5</v>
      </c>
      <c r="B168" s="94"/>
      <c r="C168" s="94"/>
      <c r="D168" s="94"/>
      <c r="E168" s="94"/>
      <c r="F168" s="94"/>
      <c r="G168" s="94"/>
      <c r="H168" s="84">
        <f t="shared" si="14"/>
        <v>0</v>
      </c>
      <c r="I168" s="101"/>
      <c r="J168" s="94"/>
    </row>
    <row r="169" spans="1:10" ht="19.05" customHeight="1" x14ac:dyDescent="0.3">
      <c r="A169" s="102" t="str">
        <f>"    "&amp;Settings!B54</f>
        <v xml:space="preserve">    Misc 6</v>
      </c>
      <c r="B169" s="94"/>
      <c r="C169" s="94"/>
      <c r="D169" s="94"/>
      <c r="E169" s="94"/>
      <c r="F169" s="94"/>
      <c r="G169" s="94"/>
      <c r="H169" s="84">
        <f t="shared" si="14"/>
        <v>0</v>
      </c>
      <c r="I169" s="101"/>
      <c r="J169" s="94"/>
    </row>
    <row r="170" spans="1:10" ht="19.95" customHeight="1" x14ac:dyDescent="0.3">
      <c r="A170" s="112" t="s">
        <v>176</v>
      </c>
      <c r="B170" s="94"/>
      <c r="C170" s="94"/>
      <c r="D170" s="94"/>
      <c r="E170" s="94"/>
      <c r="F170" s="94"/>
      <c r="G170" s="94"/>
      <c r="H170" s="83">
        <f>IFERROR(AB116,0)</f>
        <v>0</v>
      </c>
      <c r="I170" s="105" t="s">
        <v>177</v>
      </c>
      <c r="J170" s="94"/>
    </row>
    <row r="171" spans="1:10" ht="22.05" customHeight="1" x14ac:dyDescent="0.3">
      <c r="A171" s="108" t="s">
        <v>178</v>
      </c>
      <c r="B171" s="94"/>
      <c r="C171" s="94"/>
      <c r="D171" s="94"/>
      <c r="E171" s="94"/>
      <c r="F171" s="94"/>
      <c r="G171" s="94"/>
      <c r="H171" s="62">
        <f>IFERROR(H145+H170,0)</f>
        <v>0</v>
      </c>
      <c r="I171" s="107"/>
      <c r="J171" s="94"/>
    </row>
    <row r="173" spans="1:10" ht="28.05" customHeight="1" x14ac:dyDescent="0.3">
      <c r="A173" s="114" t="s">
        <v>179</v>
      </c>
      <c r="B173" s="94"/>
      <c r="C173" s="94"/>
      <c r="D173" s="94"/>
      <c r="E173" s="94"/>
      <c r="F173" s="94"/>
      <c r="G173" s="94"/>
      <c r="H173" s="85">
        <f>IFERROR(H130-H171,0)</f>
        <v>0</v>
      </c>
      <c r="I173" s="109"/>
      <c r="J173" s="94"/>
    </row>
    <row r="175" spans="1:10" ht="22.05" customHeight="1" x14ac:dyDescent="0.3">
      <c r="A175" s="113" t="s">
        <v>180</v>
      </c>
      <c r="B175" s="94"/>
      <c r="C175" s="94"/>
      <c r="D175" s="94"/>
      <c r="E175" s="94"/>
      <c r="F175" s="94"/>
      <c r="G175" s="94"/>
      <c r="H175" s="94"/>
      <c r="I175" s="94"/>
      <c r="J175" s="94"/>
    </row>
    <row r="176" spans="1:10" ht="19.95" customHeight="1" x14ac:dyDescent="0.3">
      <c r="A176" s="124" t="s">
        <v>181</v>
      </c>
      <c r="B176" s="94"/>
      <c r="C176" s="94"/>
      <c r="D176" s="94"/>
      <c r="E176" s="94"/>
      <c r="F176" s="94"/>
      <c r="G176" s="94"/>
      <c r="H176" s="86">
        <f>IFERROR(SUMIF(F5:F115,"Own",X5:X115),0)</f>
        <v>0</v>
      </c>
      <c r="I176" s="116" t="s">
        <v>182</v>
      </c>
      <c r="J176" s="94"/>
    </row>
    <row r="177" spans="1:10" ht="19.95" customHeight="1" x14ac:dyDescent="0.3">
      <c r="A177" s="127" t="s">
        <v>183</v>
      </c>
      <c r="B177" s="94"/>
      <c r="C177" s="94"/>
      <c r="D177" s="94"/>
      <c r="E177" s="94"/>
      <c r="F177" s="94"/>
      <c r="G177" s="94"/>
      <c r="H177" s="87">
        <f>IFERROR(SUMIF(F5:F115,"Rented",X5:X115),0)</f>
        <v>0</v>
      </c>
      <c r="I177" s="118" t="s">
        <v>182</v>
      </c>
      <c r="J177" s="94"/>
    </row>
    <row r="179" spans="1:10" ht="24" customHeight="1" x14ac:dyDescent="0.3">
      <c r="A179" s="108" t="s">
        <v>184</v>
      </c>
      <c r="B179" s="94"/>
      <c r="C179" s="94"/>
      <c r="D179" s="94"/>
      <c r="E179" s="94"/>
      <c r="F179" s="62">
        <f>IFERROR(SUM(I5:I115),0)</f>
        <v>0</v>
      </c>
      <c r="G179" s="122" t="s">
        <v>185</v>
      </c>
      <c r="H179" s="94"/>
      <c r="I179" s="94"/>
      <c r="J179" s="94"/>
    </row>
  </sheetData>
  <mergeCells count="104">
    <mergeCell ref="A2:AD2"/>
    <mergeCell ref="I130:J130"/>
    <mergeCell ref="A162:G162"/>
    <mergeCell ref="I167:J167"/>
    <mergeCell ref="A177:G177"/>
    <mergeCell ref="A164:G164"/>
    <mergeCell ref="A154:G154"/>
    <mergeCell ref="I169:J169"/>
    <mergeCell ref="A163:G163"/>
    <mergeCell ref="G179:J179"/>
    <mergeCell ref="I161:J161"/>
    <mergeCell ref="I142:J142"/>
    <mergeCell ref="A149:G149"/>
    <mergeCell ref="I153:J153"/>
    <mergeCell ref="A158:G158"/>
    <mergeCell ref="A118:Y118"/>
    <mergeCell ref="I128:J128"/>
    <mergeCell ref="I137:J137"/>
    <mergeCell ref="A151:G151"/>
    <mergeCell ref="A160:G160"/>
    <mergeCell ref="A141:G141"/>
    <mergeCell ref="A135:G135"/>
    <mergeCell ref="A150:G150"/>
    <mergeCell ref="I164:J164"/>
    <mergeCell ref="I139:J139"/>
    <mergeCell ref="A144:G144"/>
    <mergeCell ref="A126:J126"/>
    <mergeCell ref="A125:G125"/>
    <mergeCell ref="I154:J154"/>
    <mergeCell ref="A134:G134"/>
    <mergeCell ref="I163:J163"/>
    <mergeCell ref="A152:G152"/>
    <mergeCell ref="A127:G127"/>
    <mergeCell ref="I176:J176"/>
    <mergeCell ref="A3:N3"/>
    <mergeCell ref="A168:G168"/>
    <mergeCell ref="A146:J146"/>
    <mergeCell ref="I177:J177"/>
    <mergeCell ref="A124:J124"/>
    <mergeCell ref="I148:J148"/>
    <mergeCell ref="I138:J138"/>
    <mergeCell ref="I140:J140"/>
    <mergeCell ref="A159:G159"/>
    <mergeCell ref="A147:G147"/>
    <mergeCell ref="A161:G161"/>
    <mergeCell ref="A170:G170"/>
    <mergeCell ref="A116:F116"/>
    <mergeCell ref="I141:J141"/>
    <mergeCell ref="I150:J150"/>
    <mergeCell ref="A130:G130"/>
    <mergeCell ref="I159:J159"/>
    <mergeCell ref="I165:J165"/>
    <mergeCell ref="I143:J143"/>
    <mergeCell ref="I152:J152"/>
    <mergeCell ref="I156:J156"/>
    <mergeCell ref="A176:G176"/>
    <mergeCell ref="A173:G173"/>
    <mergeCell ref="I125:J125"/>
    <mergeCell ref="I134:J134"/>
    <mergeCell ref="A148:G148"/>
    <mergeCell ref="A157:G157"/>
    <mergeCell ref="A166:G166"/>
    <mergeCell ref="A138:G138"/>
    <mergeCell ref="I127:J127"/>
    <mergeCell ref="I162:J162"/>
    <mergeCell ref="I171:J171"/>
    <mergeCell ref="A169:G169"/>
    <mergeCell ref="A132:J132"/>
    <mergeCell ref="I155:J155"/>
    <mergeCell ref="A179:E179"/>
    <mergeCell ref="I173:J173"/>
    <mergeCell ref="A153:G153"/>
    <mergeCell ref="I170:J170"/>
    <mergeCell ref="A128:G128"/>
    <mergeCell ref="I157:J157"/>
    <mergeCell ref="A137:G137"/>
    <mergeCell ref="I166:J166"/>
    <mergeCell ref="A133:J133"/>
    <mergeCell ref="A136:G136"/>
    <mergeCell ref="A145:G145"/>
    <mergeCell ref="A139:G139"/>
    <mergeCell ref="A129:G129"/>
    <mergeCell ref="A175:J175"/>
    <mergeCell ref="I149:J149"/>
    <mergeCell ref="I158:J158"/>
    <mergeCell ref="I151:J151"/>
    <mergeCell ref="A156:G156"/>
    <mergeCell ref="A171:G171"/>
    <mergeCell ref="I160:J160"/>
    <mergeCell ref="I168:J168"/>
    <mergeCell ref="A140:G140"/>
    <mergeCell ref="AA3:AD3"/>
    <mergeCell ref="I136:J136"/>
    <mergeCell ref="I145:J145"/>
    <mergeCell ref="I129:J129"/>
    <mergeCell ref="A143:G143"/>
    <mergeCell ref="I147:J147"/>
    <mergeCell ref="A167:G167"/>
    <mergeCell ref="A142:G142"/>
    <mergeCell ref="O3:Y3"/>
    <mergeCell ref="A165:G165"/>
    <mergeCell ref="I135:J135"/>
    <mergeCell ref="A155:G155"/>
    <mergeCell ref="I144:J144"/>
  </mergeCells>
  <dataValidations count="1">
    <dataValidation type="list" allowBlank="1" sqref="F5:F115" xr:uid="{00000000-0002-0000-0D00-000000000000}">
      <formula1>"Own,Rented"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K10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3" width="12" customWidth="1"/>
    <col min="4" max="5" width="16" customWidth="1"/>
    <col min="6" max="10" width="15" customWidth="1"/>
    <col min="11" max="11" width="35" customWidth="1"/>
  </cols>
  <sheetData>
    <row r="2" spans="1:11" ht="37.950000000000003" customHeight="1" x14ac:dyDescent="0.3">
      <c r="A2" s="128" t="s">
        <v>208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11" ht="18" customHeight="1" x14ac:dyDescent="0.3">
      <c r="A3" s="129" t="s">
        <v>209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4" spans="1:11" ht="40.049999999999997" customHeight="1" x14ac:dyDescent="0.3">
      <c r="A4" s="88" t="s">
        <v>33</v>
      </c>
      <c r="B4" s="88" t="s">
        <v>109</v>
      </c>
      <c r="C4" s="88" t="s">
        <v>110</v>
      </c>
      <c r="D4" s="88" t="s">
        <v>34</v>
      </c>
      <c r="E4" s="88" t="s">
        <v>210</v>
      </c>
      <c r="F4" s="88" t="s">
        <v>112</v>
      </c>
      <c r="G4" s="88" t="s">
        <v>211</v>
      </c>
      <c r="H4" s="88" t="s">
        <v>119</v>
      </c>
      <c r="I4" s="88" t="s">
        <v>212</v>
      </c>
      <c r="J4" s="88" t="s">
        <v>213</v>
      </c>
      <c r="K4" s="88" t="s">
        <v>214</v>
      </c>
    </row>
    <row r="5" spans="1:11" x14ac:dyDescent="0.3">
      <c r="A5" s="36">
        <v>1</v>
      </c>
      <c r="B5" s="20"/>
      <c r="C5" s="20"/>
      <c r="D5" s="20"/>
      <c r="E5" s="20"/>
      <c r="F5" s="51"/>
      <c r="G5" s="51"/>
      <c r="H5" s="51"/>
      <c r="I5" s="89" t="str">
        <f t="shared" ref="I5:I36" si="0">IF(ISNUMBER(G5),IFERROR(G5,0)+IFERROR(H5,0),"")</f>
        <v/>
      </c>
      <c r="J5" s="90">
        <f>IF(ISNUMBER(F5),F5-IFERROR(G5,0),0)</f>
        <v>0</v>
      </c>
      <c r="K5" s="49"/>
    </row>
    <row r="6" spans="1:11" x14ac:dyDescent="0.3">
      <c r="A6" s="36">
        <v>2</v>
      </c>
      <c r="B6" s="91"/>
      <c r="C6" s="91"/>
      <c r="D6" s="91"/>
      <c r="E6" s="91"/>
      <c r="F6" s="74"/>
      <c r="G6" s="74"/>
      <c r="H6" s="74"/>
      <c r="I6" s="89" t="str">
        <f t="shared" si="0"/>
        <v/>
      </c>
      <c r="J6" s="90">
        <f t="shared" ref="J6:J37" si="1">J5+IF(ISNUMBER(F6),F6-IFERROR(G6,0),0)</f>
        <v>0</v>
      </c>
      <c r="K6" s="49"/>
    </row>
    <row r="7" spans="1:11" x14ac:dyDescent="0.3">
      <c r="A7" s="36">
        <v>3</v>
      </c>
      <c r="B7" s="20"/>
      <c r="C7" s="20"/>
      <c r="D7" s="20"/>
      <c r="E7" s="20"/>
      <c r="F7" s="51"/>
      <c r="G7" s="51"/>
      <c r="H7" s="51"/>
      <c r="I7" s="89" t="str">
        <f t="shared" si="0"/>
        <v/>
      </c>
      <c r="J7" s="90">
        <f t="shared" si="1"/>
        <v>0</v>
      </c>
      <c r="K7" s="49"/>
    </row>
    <row r="8" spans="1:11" x14ac:dyDescent="0.3">
      <c r="A8" s="36">
        <v>4</v>
      </c>
      <c r="B8" s="91"/>
      <c r="C8" s="91"/>
      <c r="D8" s="91"/>
      <c r="E8" s="91"/>
      <c r="F8" s="74"/>
      <c r="G8" s="74"/>
      <c r="H8" s="74"/>
      <c r="I8" s="89" t="str">
        <f t="shared" si="0"/>
        <v/>
      </c>
      <c r="J8" s="90">
        <f t="shared" si="1"/>
        <v>0</v>
      </c>
      <c r="K8" s="49"/>
    </row>
    <row r="9" spans="1:11" x14ac:dyDescent="0.3">
      <c r="A9" s="36">
        <v>5</v>
      </c>
      <c r="B9" s="20"/>
      <c r="C9" s="20"/>
      <c r="D9" s="20"/>
      <c r="E9" s="20"/>
      <c r="F9" s="51"/>
      <c r="G9" s="51"/>
      <c r="H9" s="51"/>
      <c r="I9" s="89" t="str">
        <f t="shared" si="0"/>
        <v/>
      </c>
      <c r="J9" s="90">
        <f t="shared" si="1"/>
        <v>0</v>
      </c>
      <c r="K9" s="49"/>
    </row>
    <row r="10" spans="1:11" x14ac:dyDescent="0.3">
      <c r="A10" s="36">
        <v>6</v>
      </c>
      <c r="B10" s="91"/>
      <c r="C10" s="91"/>
      <c r="D10" s="91"/>
      <c r="E10" s="91"/>
      <c r="F10" s="74"/>
      <c r="G10" s="74"/>
      <c r="H10" s="74"/>
      <c r="I10" s="89" t="str">
        <f t="shared" si="0"/>
        <v/>
      </c>
      <c r="J10" s="90">
        <f t="shared" si="1"/>
        <v>0</v>
      </c>
      <c r="K10" s="49"/>
    </row>
    <row r="11" spans="1:11" x14ac:dyDescent="0.3">
      <c r="A11" s="36">
        <v>7</v>
      </c>
      <c r="B11" s="20"/>
      <c r="C11" s="20"/>
      <c r="D11" s="20"/>
      <c r="E11" s="20"/>
      <c r="F11" s="51"/>
      <c r="G11" s="51"/>
      <c r="H11" s="51"/>
      <c r="I11" s="89" t="str">
        <f t="shared" si="0"/>
        <v/>
      </c>
      <c r="J11" s="90">
        <f t="shared" si="1"/>
        <v>0</v>
      </c>
      <c r="K11" s="49"/>
    </row>
    <row r="12" spans="1:11" x14ac:dyDescent="0.3">
      <c r="A12" s="36">
        <v>8</v>
      </c>
      <c r="B12" s="91"/>
      <c r="C12" s="91"/>
      <c r="D12" s="91"/>
      <c r="E12" s="91"/>
      <c r="F12" s="74"/>
      <c r="G12" s="74"/>
      <c r="H12" s="74"/>
      <c r="I12" s="89" t="str">
        <f t="shared" si="0"/>
        <v/>
      </c>
      <c r="J12" s="90">
        <f t="shared" si="1"/>
        <v>0</v>
      </c>
      <c r="K12" s="49"/>
    </row>
    <row r="13" spans="1:11" x14ac:dyDescent="0.3">
      <c r="A13" s="36">
        <v>9</v>
      </c>
      <c r="B13" s="20"/>
      <c r="C13" s="20"/>
      <c r="D13" s="20"/>
      <c r="E13" s="20"/>
      <c r="F13" s="51"/>
      <c r="G13" s="51"/>
      <c r="H13" s="51"/>
      <c r="I13" s="89" t="str">
        <f t="shared" si="0"/>
        <v/>
      </c>
      <c r="J13" s="90">
        <f t="shared" si="1"/>
        <v>0</v>
      </c>
      <c r="K13" s="49"/>
    </row>
    <row r="14" spans="1:11" x14ac:dyDescent="0.3">
      <c r="A14" s="36">
        <v>10</v>
      </c>
      <c r="B14" s="91"/>
      <c r="C14" s="91"/>
      <c r="D14" s="91"/>
      <c r="E14" s="91"/>
      <c r="F14" s="74"/>
      <c r="G14" s="74"/>
      <c r="H14" s="74"/>
      <c r="I14" s="89" t="str">
        <f t="shared" si="0"/>
        <v/>
      </c>
      <c r="J14" s="90">
        <f t="shared" si="1"/>
        <v>0</v>
      </c>
      <c r="K14" s="49"/>
    </row>
    <row r="15" spans="1:11" x14ac:dyDescent="0.3">
      <c r="A15" s="36">
        <v>11</v>
      </c>
      <c r="B15" s="20"/>
      <c r="C15" s="20"/>
      <c r="D15" s="20"/>
      <c r="E15" s="20"/>
      <c r="F15" s="51"/>
      <c r="G15" s="51"/>
      <c r="H15" s="51"/>
      <c r="I15" s="89" t="str">
        <f t="shared" si="0"/>
        <v/>
      </c>
      <c r="J15" s="90">
        <f t="shared" si="1"/>
        <v>0</v>
      </c>
      <c r="K15" s="49"/>
    </row>
    <row r="16" spans="1:11" x14ac:dyDescent="0.3">
      <c r="A16" s="36">
        <v>12</v>
      </c>
      <c r="B16" s="91"/>
      <c r="C16" s="91"/>
      <c r="D16" s="91"/>
      <c r="E16" s="91"/>
      <c r="F16" s="74"/>
      <c r="G16" s="74"/>
      <c r="H16" s="74"/>
      <c r="I16" s="89" t="str">
        <f t="shared" si="0"/>
        <v/>
      </c>
      <c r="J16" s="90">
        <f t="shared" si="1"/>
        <v>0</v>
      </c>
      <c r="K16" s="49"/>
    </row>
    <row r="17" spans="1:11" x14ac:dyDescent="0.3">
      <c r="A17" s="36">
        <v>13</v>
      </c>
      <c r="B17" s="20"/>
      <c r="C17" s="20"/>
      <c r="D17" s="20"/>
      <c r="E17" s="20"/>
      <c r="F17" s="51"/>
      <c r="G17" s="51"/>
      <c r="H17" s="51"/>
      <c r="I17" s="89" t="str">
        <f t="shared" si="0"/>
        <v/>
      </c>
      <c r="J17" s="90">
        <f t="shared" si="1"/>
        <v>0</v>
      </c>
      <c r="K17" s="49"/>
    </row>
    <row r="18" spans="1:11" x14ac:dyDescent="0.3">
      <c r="A18" s="36">
        <v>14</v>
      </c>
      <c r="B18" s="91"/>
      <c r="C18" s="91"/>
      <c r="D18" s="91"/>
      <c r="E18" s="91"/>
      <c r="F18" s="74"/>
      <c r="G18" s="74"/>
      <c r="H18" s="74"/>
      <c r="I18" s="89" t="str">
        <f t="shared" si="0"/>
        <v/>
      </c>
      <c r="J18" s="90">
        <f t="shared" si="1"/>
        <v>0</v>
      </c>
      <c r="K18" s="49"/>
    </row>
    <row r="19" spans="1:11" x14ac:dyDescent="0.3">
      <c r="A19" s="36">
        <v>15</v>
      </c>
      <c r="B19" s="20"/>
      <c r="C19" s="20"/>
      <c r="D19" s="20"/>
      <c r="E19" s="20"/>
      <c r="F19" s="51"/>
      <c r="G19" s="51"/>
      <c r="H19" s="51"/>
      <c r="I19" s="89" t="str">
        <f t="shared" si="0"/>
        <v/>
      </c>
      <c r="J19" s="90">
        <f t="shared" si="1"/>
        <v>0</v>
      </c>
      <c r="K19" s="49"/>
    </row>
    <row r="20" spans="1:11" x14ac:dyDescent="0.3">
      <c r="A20" s="36">
        <v>16</v>
      </c>
      <c r="B20" s="91"/>
      <c r="C20" s="91"/>
      <c r="D20" s="91"/>
      <c r="E20" s="91"/>
      <c r="F20" s="74"/>
      <c r="G20" s="74"/>
      <c r="H20" s="74"/>
      <c r="I20" s="89" t="str">
        <f t="shared" si="0"/>
        <v/>
      </c>
      <c r="J20" s="90">
        <f t="shared" si="1"/>
        <v>0</v>
      </c>
      <c r="K20" s="49"/>
    </row>
    <row r="21" spans="1:11" x14ac:dyDescent="0.3">
      <c r="A21" s="36">
        <v>17</v>
      </c>
      <c r="B21" s="20"/>
      <c r="C21" s="20"/>
      <c r="D21" s="20"/>
      <c r="E21" s="20"/>
      <c r="F21" s="51"/>
      <c r="G21" s="51"/>
      <c r="H21" s="51"/>
      <c r="I21" s="89" t="str">
        <f t="shared" si="0"/>
        <v/>
      </c>
      <c r="J21" s="90">
        <f t="shared" si="1"/>
        <v>0</v>
      </c>
      <c r="K21" s="49"/>
    </row>
    <row r="22" spans="1:11" x14ac:dyDescent="0.3">
      <c r="A22" s="36">
        <v>18</v>
      </c>
      <c r="B22" s="91"/>
      <c r="C22" s="91"/>
      <c r="D22" s="91"/>
      <c r="E22" s="91"/>
      <c r="F22" s="74"/>
      <c r="G22" s="74"/>
      <c r="H22" s="74"/>
      <c r="I22" s="89" t="str">
        <f t="shared" si="0"/>
        <v/>
      </c>
      <c r="J22" s="90">
        <f t="shared" si="1"/>
        <v>0</v>
      </c>
      <c r="K22" s="49"/>
    </row>
    <row r="23" spans="1:11" x14ac:dyDescent="0.3">
      <c r="A23" s="36">
        <v>19</v>
      </c>
      <c r="B23" s="20"/>
      <c r="C23" s="20"/>
      <c r="D23" s="20"/>
      <c r="E23" s="20"/>
      <c r="F23" s="51"/>
      <c r="G23" s="51"/>
      <c r="H23" s="51"/>
      <c r="I23" s="89" t="str">
        <f t="shared" si="0"/>
        <v/>
      </c>
      <c r="J23" s="90">
        <f t="shared" si="1"/>
        <v>0</v>
      </c>
      <c r="K23" s="49"/>
    </row>
    <row r="24" spans="1:11" x14ac:dyDescent="0.3">
      <c r="A24" s="36">
        <v>20</v>
      </c>
      <c r="B24" s="91"/>
      <c r="C24" s="91"/>
      <c r="D24" s="91"/>
      <c r="E24" s="91"/>
      <c r="F24" s="74"/>
      <c r="G24" s="74"/>
      <c r="H24" s="74"/>
      <c r="I24" s="89" t="str">
        <f t="shared" si="0"/>
        <v/>
      </c>
      <c r="J24" s="90">
        <f t="shared" si="1"/>
        <v>0</v>
      </c>
      <c r="K24" s="49"/>
    </row>
    <row r="25" spans="1:11" x14ac:dyDescent="0.3">
      <c r="A25" s="36">
        <v>21</v>
      </c>
      <c r="B25" s="20"/>
      <c r="C25" s="20"/>
      <c r="D25" s="20"/>
      <c r="E25" s="20"/>
      <c r="F25" s="51"/>
      <c r="G25" s="51"/>
      <c r="H25" s="51"/>
      <c r="I25" s="89" t="str">
        <f t="shared" si="0"/>
        <v/>
      </c>
      <c r="J25" s="90">
        <f t="shared" si="1"/>
        <v>0</v>
      </c>
      <c r="K25" s="49"/>
    </row>
    <row r="26" spans="1:11" x14ac:dyDescent="0.3">
      <c r="A26" s="36">
        <v>22</v>
      </c>
      <c r="B26" s="91"/>
      <c r="C26" s="91"/>
      <c r="D26" s="91"/>
      <c r="E26" s="91"/>
      <c r="F26" s="74"/>
      <c r="G26" s="74"/>
      <c r="H26" s="74"/>
      <c r="I26" s="89" t="str">
        <f t="shared" si="0"/>
        <v/>
      </c>
      <c r="J26" s="90">
        <f t="shared" si="1"/>
        <v>0</v>
      </c>
      <c r="K26" s="49"/>
    </row>
    <row r="27" spans="1:11" x14ac:dyDescent="0.3">
      <c r="A27" s="36">
        <v>23</v>
      </c>
      <c r="B27" s="20"/>
      <c r="C27" s="20"/>
      <c r="D27" s="20"/>
      <c r="E27" s="20"/>
      <c r="F27" s="51"/>
      <c r="G27" s="51"/>
      <c r="H27" s="51"/>
      <c r="I27" s="89" t="str">
        <f t="shared" si="0"/>
        <v/>
      </c>
      <c r="J27" s="90">
        <f t="shared" si="1"/>
        <v>0</v>
      </c>
      <c r="K27" s="49"/>
    </row>
    <row r="28" spans="1:11" x14ac:dyDescent="0.3">
      <c r="A28" s="36">
        <v>24</v>
      </c>
      <c r="B28" s="91"/>
      <c r="C28" s="91"/>
      <c r="D28" s="91"/>
      <c r="E28" s="91"/>
      <c r="F28" s="74"/>
      <c r="G28" s="74"/>
      <c r="H28" s="74"/>
      <c r="I28" s="89" t="str">
        <f t="shared" si="0"/>
        <v/>
      </c>
      <c r="J28" s="90">
        <f t="shared" si="1"/>
        <v>0</v>
      </c>
      <c r="K28" s="49"/>
    </row>
    <row r="29" spans="1:11" x14ac:dyDescent="0.3">
      <c r="A29" s="36">
        <v>25</v>
      </c>
      <c r="B29" s="20"/>
      <c r="C29" s="20"/>
      <c r="D29" s="20"/>
      <c r="E29" s="20"/>
      <c r="F29" s="51"/>
      <c r="G29" s="51"/>
      <c r="H29" s="51"/>
      <c r="I29" s="89" t="str">
        <f t="shared" si="0"/>
        <v/>
      </c>
      <c r="J29" s="90">
        <f t="shared" si="1"/>
        <v>0</v>
      </c>
      <c r="K29" s="49"/>
    </row>
    <row r="30" spans="1:11" x14ac:dyDescent="0.3">
      <c r="A30" s="36">
        <v>26</v>
      </c>
      <c r="B30" s="91"/>
      <c r="C30" s="91"/>
      <c r="D30" s="91"/>
      <c r="E30" s="91"/>
      <c r="F30" s="74"/>
      <c r="G30" s="74"/>
      <c r="H30" s="74"/>
      <c r="I30" s="89" t="str">
        <f t="shared" si="0"/>
        <v/>
      </c>
      <c r="J30" s="90">
        <f t="shared" si="1"/>
        <v>0</v>
      </c>
      <c r="K30" s="49"/>
    </row>
    <row r="31" spans="1:11" x14ac:dyDescent="0.3">
      <c r="A31" s="36">
        <v>27</v>
      </c>
      <c r="B31" s="20"/>
      <c r="C31" s="20"/>
      <c r="D31" s="20"/>
      <c r="E31" s="20"/>
      <c r="F31" s="51"/>
      <c r="G31" s="51"/>
      <c r="H31" s="51"/>
      <c r="I31" s="89" t="str">
        <f t="shared" si="0"/>
        <v/>
      </c>
      <c r="J31" s="90">
        <f t="shared" si="1"/>
        <v>0</v>
      </c>
      <c r="K31" s="49"/>
    </row>
    <row r="32" spans="1:11" x14ac:dyDescent="0.3">
      <c r="A32" s="36">
        <v>28</v>
      </c>
      <c r="B32" s="91"/>
      <c r="C32" s="91"/>
      <c r="D32" s="91"/>
      <c r="E32" s="91"/>
      <c r="F32" s="74"/>
      <c r="G32" s="74"/>
      <c r="H32" s="74"/>
      <c r="I32" s="89" t="str">
        <f t="shared" si="0"/>
        <v/>
      </c>
      <c r="J32" s="90">
        <f t="shared" si="1"/>
        <v>0</v>
      </c>
      <c r="K32" s="49"/>
    </row>
    <row r="33" spans="1:11" x14ac:dyDescent="0.3">
      <c r="A33" s="36">
        <v>29</v>
      </c>
      <c r="B33" s="20"/>
      <c r="C33" s="20"/>
      <c r="D33" s="20"/>
      <c r="E33" s="20"/>
      <c r="F33" s="51"/>
      <c r="G33" s="51"/>
      <c r="H33" s="51"/>
      <c r="I33" s="89" t="str">
        <f t="shared" si="0"/>
        <v/>
      </c>
      <c r="J33" s="90">
        <f t="shared" si="1"/>
        <v>0</v>
      </c>
      <c r="K33" s="49"/>
    </row>
    <row r="34" spans="1:11" x14ac:dyDescent="0.3">
      <c r="A34" s="36">
        <v>30</v>
      </c>
      <c r="B34" s="91"/>
      <c r="C34" s="91"/>
      <c r="D34" s="91"/>
      <c r="E34" s="91"/>
      <c r="F34" s="74"/>
      <c r="G34" s="74"/>
      <c r="H34" s="74"/>
      <c r="I34" s="89" t="str">
        <f t="shared" si="0"/>
        <v/>
      </c>
      <c r="J34" s="90">
        <f t="shared" si="1"/>
        <v>0</v>
      </c>
      <c r="K34" s="49"/>
    </row>
    <row r="35" spans="1:11" x14ac:dyDescent="0.3">
      <c r="A35" s="36">
        <v>31</v>
      </c>
      <c r="B35" s="20"/>
      <c r="C35" s="20"/>
      <c r="D35" s="20"/>
      <c r="E35" s="20"/>
      <c r="F35" s="51"/>
      <c r="G35" s="51"/>
      <c r="H35" s="51"/>
      <c r="I35" s="89" t="str">
        <f t="shared" si="0"/>
        <v/>
      </c>
      <c r="J35" s="90">
        <f t="shared" si="1"/>
        <v>0</v>
      </c>
      <c r="K35" s="49"/>
    </row>
    <row r="36" spans="1:11" x14ac:dyDescent="0.3">
      <c r="A36" s="36">
        <v>32</v>
      </c>
      <c r="B36" s="91"/>
      <c r="C36" s="91"/>
      <c r="D36" s="91"/>
      <c r="E36" s="91"/>
      <c r="F36" s="74"/>
      <c r="G36" s="74"/>
      <c r="H36" s="74"/>
      <c r="I36" s="89" t="str">
        <f t="shared" si="0"/>
        <v/>
      </c>
      <c r="J36" s="90">
        <f t="shared" si="1"/>
        <v>0</v>
      </c>
      <c r="K36" s="49"/>
    </row>
    <row r="37" spans="1:11" x14ac:dyDescent="0.3">
      <c r="A37" s="36">
        <v>33</v>
      </c>
      <c r="B37" s="20"/>
      <c r="C37" s="20"/>
      <c r="D37" s="20"/>
      <c r="E37" s="20"/>
      <c r="F37" s="51"/>
      <c r="G37" s="51"/>
      <c r="H37" s="51"/>
      <c r="I37" s="89" t="str">
        <f t="shared" ref="I37:I68" si="2">IF(ISNUMBER(G37),IFERROR(G37,0)+IFERROR(H37,0),"")</f>
        <v/>
      </c>
      <c r="J37" s="90">
        <f t="shared" si="1"/>
        <v>0</v>
      </c>
      <c r="K37" s="49"/>
    </row>
    <row r="38" spans="1:11" x14ac:dyDescent="0.3">
      <c r="A38" s="36">
        <v>34</v>
      </c>
      <c r="B38" s="91"/>
      <c r="C38" s="91"/>
      <c r="D38" s="91"/>
      <c r="E38" s="91"/>
      <c r="F38" s="74"/>
      <c r="G38" s="74"/>
      <c r="H38" s="74"/>
      <c r="I38" s="89" t="str">
        <f t="shared" si="2"/>
        <v/>
      </c>
      <c r="J38" s="90">
        <f t="shared" ref="J38:J69" si="3">J37+IF(ISNUMBER(F38),F38-IFERROR(G38,0),0)</f>
        <v>0</v>
      </c>
      <c r="K38" s="49"/>
    </row>
    <row r="39" spans="1:11" x14ac:dyDescent="0.3">
      <c r="A39" s="36">
        <v>35</v>
      </c>
      <c r="B39" s="20"/>
      <c r="C39" s="20"/>
      <c r="D39" s="20"/>
      <c r="E39" s="20"/>
      <c r="F39" s="51"/>
      <c r="G39" s="51"/>
      <c r="H39" s="51"/>
      <c r="I39" s="89" t="str">
        <f t="shared" si="2"/>
        <v/>
      </c>
      <c r="J39" s="90">
        <f t="shared" si="3"/>
        <v>0</v>
      </c>
      <c r="K39" s="49"/>
    </row>
    <row r="40" spans="1:11" x14ac:dyDescent="0.3">
      <c r="A40" s="36">
        <v>36</v>
      </c>
      <c r="B40" s="91"/>
      <c r="C40" s="91"/>
      <c r="D40" s="91"/>
      <c r="E40" s="91"/>
      <c r="F40" s="74"/>
      <c r="G40" s="74"/>
      <c r="H40" s="74"/>
      <c r="I40" s="89" t="str">
        <f t="shared" si="2"/>
        <v/>
      </c>
      <c r="J40" s="90">
        <f t="shared" si="3"/>
        <v>0</v>
      </c>
      <c r="K40" s="49"/>
    </row>
    <row r="41" spans="1:11" x14ac:dyDescent="0.3">
      <c r="A41" s="36">
        <v>37</v>
      </c>
      <c r="B41" s="20"/>
      <c r="C41" s="20"/>
      <c r="D41" s="20"/>
      <c r="E41" s="20"/>
      <c r="F41" s="51"/>
      <c r="G41" s="51"/>
      <c r="H41" s="51"/>
      <c r="I41" s="89" t="str">
        <f t="shared" si="2"/>
        <v/>
      </c>
      <c r="J41" s="90">
        <f t="shared" si="3"/>
        <v>0</v>
      </c>
      <c r="K41" s="49"/>
    </row>
    <row r="42" spans="1:11" x14ac:dyDescent="0.3">
      <c r="A42" s="36">
        <v>38</v>
      </c>
      <c r="B42" s="91"/>
      <c r="C42" s="91"/>
      <c r="D42" s="91"/>
      <c r="E42" s="91"/>
      <c r="F42" s="74"/>
      <c r="G42" s="74"/>
      <c r="H42" s="74"/>
      <c r="I42" s="89" t="str">
        <f t="shared" si="2"/>
        <v/>
      </c>
      <c r="J42" s="90">
        <f t="shared" si="3"/>
        <v>0</v>
      </c>
      <c r="K42" s="49"/>
    </row>
    <row r="43" spans="1:11" x14ac:dyDescent="0.3">
      <c r="A43" s="36">
        <v>39</v>
      </c>
      <c r="B43" s="20"/>
      <c r="C43" s="20"/>
      <c r="D43" s="20"/>
      <c r="E43" s="20"/>
      <c r="F43" s="51"/>
      <c r="G43" s="51"/>
      <c r="H43" s="51"/>
      <c r="I43" s="89" t="str">
        <f t="shared" si="2"/>
        <v/>
      </c>
      <c r="J43" s="90">
        <f t="shared" si="3"/>
        <v>0</v>
      </c>
      <c r="K43" s="49"/>
    </row>
    <row r="44" spans="1:11" x14ac:dyDescent="0.3">
      <c r="A44" s="36">
        <v>40</v>
      </c>
      <c r="B44" s="91"/>
      <c r="C44" s="91"/>
      <c r="D44" s="91"/>
      <c r="E44" s="91"/>
      <c r="F44" s="74"/>
      <c r="G44" s="74"/>
      <c r="H44" s="74"/>
      <c r="I44" s="89" t="str">
        <f t="shared" si="2"/>
        <v/>
      </c>
      <c r="J44" s="90">
        <f t="shared" si="3"/>
        <v>0</v>
      </c>
      <c r="K44" s="49"/>
    </row>
    <row r="45" spans="1:11" x14ac:dyDescent="0.3">
      <c r="A45" s="36">
        <v>41</v>
      </c>
      <c r="B45" s="20"/>
      <c r="C45" s="20"/>
      <c r="D45" s="20"/>
      <c r="E45" s="20"/>
      <c r="F45" s="51"/>
      <c r="G45" s="51"/>
      <c r="H45" s="51"/>
      <c r="I45" s="89" t="str">
        <f t="shared" si="2"/>
        <v/>
      </c>
      <c r="J45" s="90">
        <f t="shared" si="3"/>
        <v>0</v>
      </c>
      <c r="K45" s="49"/>
    </row>
    <row r="46" spans="1:11" x14ac:dyDescent="0.3">
      <c r="A46" s="36">
        <v>42</v>
      </c>
      <c r="B46" s="91"/>
      <c r="C46" s="91"/>
      <c r="D46" s="91"/>
      <c r="E46" s="91"/>
      <c r="F46" s="74"/>
      <c r="G46" s="74"/>
      <c r="H46" s="74"/>
      <c r="I46" s="89" t="str">
        <f t="shared" si="2"/>
        <v/>
      </c>
      <c r="J46" s="90">
        <f t="shared" si="3"/>
        <v>0</v>
      </c>
      <c r="K46" s="49"/>
    </row>
    <row r="47" spans="1:11" x14ac:dyDescent="0.3">
      <c r="A47" s="36">
        <v>43</v>
      </c>
      <c r="B47" s="20"/>
      <c r="C47" s="20"/>
      <c r="D47" s="20"/>
      <c r="E47" s="20"/>
      <c r="F47" s="51"/>
      <c r="G47" s="51"/>
      <c r="H47" s="51"/>
      <c r="I47" s="89" t="str">
        <f t="shared" si="2"/>
        <v/>
      </c>
      <c r="J47" s="90">
        <f t="shared" si="3"/>
        <v>0</v>
      </c>
      <c r="K47" s="49"/>
    </row>
    <row r="48" spans="1:11" x14ac:dyDescent="0.3">
      <c r="A48" s="36">
        <v>44</v>
      </c>
      <c r="B48" s="91"/>
      <c r="C48" s="91"/>
      <c r="D48" s="91"/>
      <c r="E48" s="91"/>
      <c r="F48" s="74"/>
      <c r="G48" s="74"/>
      <c r="H48" s="74"/>
      <c r="I48" s="89" t="str">
        <f t="shared" si="2"/>
        <v/>
      </c>
      <c r="J48" s="90">
        <f t="shared" si="3"/>
        <v>0</v>
      </c>
      <c r="K48" s="49"/>
    </row>
    <row r="49" spans="1:11" x14ac:dyDescent="0.3">
      <c r="A49" s="36">
        <v>45</v>
      </c>
      <c r="B49" s="20"/>
      <c r="C49" s="20"/>
      <c r="D49" s="20"/>
      <c r="E49" s="20"/>
      <c r="F49" s="51"/>
      <c r="G49" s="51"/>
      <c r="H49" s="51"/>
      <c r="I49" s="89" t="str">
        <f t="shared" si="2"/>
        <v/>
      </c>
      <c r="J49" s="90">
        <f t="shared" si="3"/>
        <v>0</v>
      </c>
      <c r="K49" s="49"/>
    </row>
    <row r="50" spans="1:11" x14ac:dyDescent="0.3">
      <c r="A50" s="36">
        <v>46</v>
      </c>
      <c r="B50" s="91"/>
      <c r="C50" s="91"/>
      <c r="D50" s="91"/>
      <c r="E50" s="91"/>
      <c r="F50" s="74"/>
      <c r="G50" s="74"/>
      <c r="H50" s="74"/>
      <c r="I50" s="89" t="str">
        <f t="shared" si="2"/>
        <v/>
      </c>
      <c r="J50" s="90">
        <f t="shared" si="3"/>
        <v>0</v>
      </c>
      <c r="K50" s="49"/>
    </row>
    <row r="51" spans="1:11" x14ac:dyDescent="0.3">
      <c r="A51" s="36">
        <v>47</v>
      </c>
      <c r="B51" s="20"/>
      <c r="C51" s="20"/>
      <c r="D51" s="20"/>
      <c r="E51" s="20"/>
      <c r="F51" s="51"/>
      <c r="G51" s="51"/>
      <c r="H51" s="51"/>
      <c r="I51" s="89" t="str">
        <f t="shared" si="2"/>
        <v/>
      </c>
      <c r="J51" s="90">
        <f t="shared" si="3"/>
        <v>0</v>
      </c>
      <c r="K51" s="49"/>
    </row>
    <row r="52" spans="1:11" x14ac:dyDescent="0.3">
      <c r="A52" s="36">
        <v>48</v>
      </c>
      <c r="B52" s="91"/>
      <c r="C52" s="91"/>
      <c r="D52" s="91"/>
      <c r="E52" s="91"/>
      <c r="F52" s="74"/>
      <c r="G52" s="74"/>
      <c r="H52" s="74"/>
      <c r="I52" s="89" t="str">
        <f t="shared" si="2"/>
        <v/>
      </c>
      <c r="J52" s="90">
        <f t="shared" si="3"/>
        <v>0</v>
      </c>
      <c r="K52" s="49"/>
    </row>
    <row r="53" spans="1:11" x14ac:dyDescent="0.3">
      <c r="A53" s="36">
        <v>49</v>
      </c>
      <c r="B53" s="20"/>
      <c r="C53" s="20"/>
      <c r="D53" s="20"/>
      <c r="E53" s="20"/>
      <c r="F53" s="51"/>
      <c r="G53" s="51"/>
      <c r="H53" s="51"/>
      <c r="I53" s="89" t="str">
        <f t="shared" si="2"/>
        <v/>
      </c>
      <c r="J53" s="90">
        <f t="shared" si="3"/>
        <v>0</v>
      </c>
      <c r="K53" s="49"/>
    </row>
    <row r="54" spans="1:11" x14ac:dyDescent="0.3">
      <c r="A54" s="36">
        <v>50</v>
      </c>
      <c r="B54" s="91"/>
      <c r="C54" s="91"/>
      <c r="D54" s="91"/>
      <c r="E54" s="91"/>
      <c r="F54" s="74"/>
      <c r="G54" s="74"/>
      <c r="H54" s="74"/>
      <c r="I54" s="89" t="str">
        <f t="shared" si="2"/>
        <v/>
      </c>
      <c r="J54" s="90">
        <f t="shared" si="3"/>
        <v>0</v>
      </c>
      <c r="K54" s="49"/>
    </row>
    <row r="55" spans="1:11" x14ac:dyDescent="0.3">
      <c r="A55" s="36">
        <v>51</v>
      </c>
      <c r="B55" s="20"/>
      <c r="C55" s="20"/>
      <c r="D55" s="20"/>
      <c r="E55" s="20"/>
      <c r="F55" s="51"/>
      <c r="G55" s="51"/>
      <c r="H55" s="51"/>
      <c r="I55" s="89" t="str">
        <f t="shared" si="2"/>
        <v/>
      </c>
      <c r="J55" s="90">
        <f t="shared" si="3"/>
        <v>0</v>
      </c>
      <c r="K55" s="49"/>
    </row>
    <row r="56" spans="1:11" x14ac:dyDescent="0.3">
      <c r="A56" s="36">
        <v>52</v>
      </c>
      <c r="B56" s="91"/>
      <c r="C56" s="91"/>
      <c r="D56" s="91"/>
      <c r="E56" s="91"/>
      <c r="F56" s="74"/>
      <c r="G56" s="74"/>
      <c r="H56" s="74"/>
      <c r="I56" s="89" t="str">
        <f t="shared" si="2"/>
        <v/>
      </c>
      <c r="J56" s="90">
        <f t="shared" si="3"/>
        <v>0</v>
      </c>
      <c r="K56" s="49"/>
    </row>
    <row r="57" spans="1:11" x14ac:dyDescent="0.3">
      <c r="A57" s="36">
        <v>53</v>
      </c>
      <c r="B57" s="20"/>
      <c r="C57" s="20"/>
      <c r="D57" s="20"/>
      <c r="E57" s="20"/>
      <c r="F57" s="51"/>
      <c r="G57" s="51"/>
      <c r="H57" s="51"/>
      <c r="I57" s="89" t="str">
        <f t="shared" si="2"/>
        <v/>
      </c>
      <c r="J57" s="90">
        <f t="shared" si="3"/>
        <v>0</v>
      </c>
      <c r="K57" s="49"/>
    </row>
    <row r="58" spans="1:11" x14ac:dyDescent="0.3">
      <c r="A58" s="36">
        <v>54</v>
      </c>
      <c r="B58" s="91"/>
      <c r="C58" s="91"/>
      <c r="D58" s="91"/>
      <c r="E58" s="91"/>
      <c r="F58" s="74"/>
      <c r="G58" s="74"/>
      <c r="H58" s="74"/>
      <c r="I58" s="89" t="str">
        <f t="shared" si="2"/>
        <v/>
      </c>
      <c r="J58" s="90">
        <f t="shared" si="3"/>
        <v>0</v>
      </c>
      <c r="K58" s="49"/>
    </row>
    <row r="59" spans="1:11" x14ac:dyDescent="0.3">
      <c r="A59" s="36">
        <v>55</v>
      </c>
      <c r="B59" s="20"/>
      <c r="C59" s="20"/>
      <c r="D59" s="20"/>
      <c r="E59" s="20"/>
      <c r="F59" s="51"/>
      <c r="G59" s="51"/>
      <c r="H59" s="51"/>
      <c r="I59" s="89" t="str">
        <f t="shared" si="2"/>
        <v/>
      </c>
      <c r="J59" s="90">
        <f t="shared" si="3"/>
        <v>0</v>
      </c>
      <c r="K59" s="49"/>
    </row>
    <row r="60" spans="1:11" x14ac:dyDescent="0.3">
      <c r="A60" s="36">
        <v>56</v>
      </c>
      <c r="B60" s="91"/>
      <c r="C60" s="91"/>
      <c r="D60" s="91"/>
      <c r="E60" s="91"/>
      <c r="F60" s="74"/>
      <c r="G60" s="74"/>
      <c r="H60" s="74"/>
      <c r="I60" s="89" t="str">
        <f t="shared" si="2"/>
        <v/>
      </c>
      <c r="J60" s="90">
        <f t="shared" si="3"/>
        <v>0</v>
      </c>
      <c r="K60" s="49"/>
    </row>
    <row r="61" spans="1:11" x14ac:dyDescent="0.3">
      <c r="A61" s="36">
        <v>57</v>
      </c>
      <c r="B61" s="20"/>
      <c r="C61" s="20"/>
      <c r="D61" s="20"/>
      <c r="E61" s="20"/>
      <c r="F61" s="51"/>
      <c r="G61" s="51"/>
      <c r="H61" s="51"/>
      <c r="I61" s="89" t="str">
        <f t="shared" si="2"/>
        <v/>
      </c>
      <c r="J61" s="90">
        <f t="shared" si="3"/>
        <v>0</v>
      </c>
      <c r="K61" s="49"/>
    </row>
    <row r="62" spans="1:11" x14ac:dyDescent="0.3">
      <c r="A62" s="36">
        <v>58</v>
      </c>
      <c r="B62" s="91"/>
      <c r="C62" s="91"/>
      <c r="D62" s="91"/>
      <c r="E62" s="91"/>
      <c r="F62" s="74"/>
      <c r="G62" s="74"/>
      <c r="H62" s="74"/>
      <c r="I62" s="89" t="str">
        <f t="shared" si="2"/>
        <v/>
      </c>
      <c r="J62" s="90">
        <f t="shared" si="3"/>
        <v>0</v>
      </c>
      <c r="K62" s="49"/>
    </row>
    <row r="63" spans="1:11" x14ac:dyDescent="0.3">
      <c r="A63" s="36">
        <v>59</v>
      </c>
      <c r="B63" s="20"/>
      <c r="C63" s="20"/>
      <c r="D63" s="20"/>
      <c r="E63" s="20"/>
      <c r="F63" s="51"/>
      <c r="G63" s="51"/>
      <c r="H63" s="51"/>
      <c r="I63" s="89" t="str">
        <f t="shared" si="2"/>
        <v/>
      </c>
      <c r="J63" s="90">
        <f t="shared" si="3"/>
        <v>0</v>
      </c>
      <c r="K63" s="49"/>
    </row>
    <row r="64" spans="1:11" x14ac:dyDescent="0.3">
      <c r="A64" s="36">
        <v>60</v>
      </c>
      <c r="B64" s="91"/>
      <c r="C64" s="91"/>
      <c r="D64" s="91"/>
      <c r="E64" s="91"/>
      <c r="F64" s="74"/>
      <c r="G64" s="74"/>
      <c r="H64" s="74"/>
      <c r="I64" s="89" t="str">
        <f t="shared" si="2"/>
        <v/>
      </c>
      <c r="J64" s="90">
        <f t="shared" si="3"/>
        <v>0</v>
      </c>
      <c r="K64" s="49"/>
    </row>
    <row r="65" spans="1:11" x14ac:dyDescent="0.3">
      <c r="A65" s="36">
        <v>61</v>
      </c>
      <c r="B65" s="20"/>
      <c r="C65" s="20"/>
      <c r="D65" s="20"/>
      <c r="E65" s="20"/>
      <c r="F65" s="51"/>
      <c r="G65" s="51"/>
      <c r="H65" s="51"/>
      <c r="I65" s="89" t="str">
        <f t="shared" si="2"/>
        <v/>
      </c>
      <c r="J65" s="90">
        <f t="shared" si="3"/>
        <v>0</v>
      </c>
      <c r="K65" s="49"/>
    </row>
    <row r="66" spans="1:11" x14ac:dyDescent="0.3">
      <c r="A66" s="36">
        <v>62</v>
      </c>
      <c r="B66" s="91"/>
      <c r="C66" s="91"/>
      <c r="D66" s="91"/>
      <c r="E66" s="91"/>
      <c r="F66" s="74"/>
      <c r="G66" s="74"/>
      <c r="H66" s="74"/>
      <c r="I66" s="89" t="str">
        <f t="shared" si="2"/>
        <v/>
      </c>
      <c r="J66" s="90">
        <f t="shared" si="3"/>
        <v>0</v>
      </c>
      <c r="K66" s="49"/>
    </row>
    <row r="67" spans="1:11" x14ac:dyDescent="0.3">
      <c r="A67" s="36">
        <v>63</v>
      </c>
      <c r="B67" s="20"/>
      <c r="C67" s="20"/>
      <c r="D67" s="20"/>
      <c r="E67" s="20"/>
      <c r="F67" s="51"/>
      <c r="G67" s="51"/>
      <c r="H67" s="51"/>
      <c r="I67" s="89" t="str">
        <f t="shared" si="2"/>
        <v/>
      </c>
      <c r="J67" s="90">
        <f t="shared" si="3"/>
        <v>0</v>
      </c>
      <c r="K67" s="49"/>
    </row>
    <row r="68" spans="1:11" x14ac:dyDescent="0.3">
      <c r="A68" s="36">
        <v>64</v>
      </c>
      <c r="B68" s="91"/>
      <c r="C68" s="91"/>
      <c r="D68" s="91"/>
      <c r="E68" s="91"/>
      <c r="F68" s="74"/>
      <c r="G68" s="74"/>
      <c r="H68" s="74"/>
      <c r="I68" s="89" t="str">
        <f t="shared" si="2"/>
        <v/>
      </c>
      <c r="J68" s="90">
        <f t="shared" si="3"/>
        <v>0</v>
      </c>
      <c r="K68" s="49"/>
    </row>
    <row r="69" spans="1:11" x14ac:dyDescent="0.3">
      <c r="A69" s="36">
        <v>65</v>
      </c>
      <c r="B69" s="20"/>
      <c r="C69" s="20"/>
      <c r="D69" s="20"/>
      <c r="E69" s="20"/>
      <c r="F69" s="51"/>
      <c r="G69" s="51"/>
      <c r="H69" s="51"/>
      <c r="I69" s="89" t="str">
        <f t="shared" ref="I69:I100" si="4">IF(ISNUMBER(G69),IFERROR(G69,0)+IFERROR(H69,0),"")</f>
        <v/>
      </c>
      <c r="J69" s="90">
        <f t="shared" si="3"/>
        <v>0</v>
      </c>
      <c r="K69" s="49"/>
    </row>
    <row r="70" spans="1:11" x14ac:dyDescent="0.3">
      <c r="A70" s="36">
        <v>66</v>
      </c>
      <c r="B70" s="91"/>
      <c r="C70" s="91"/>
      <c r="D70" s="91"/>
      <c r="E70" s="91"/>
      <c r="F70" s="74"/>
      <c r="G70" s="74"/>
      <c r="H70" s="74"/>
      <c r="I70" s="89" t="str">
        <f t="shared" si="4"/>
        <v/>
      </c>
      <c r="J70" s="90">
        <f t="shared" ref="J70:J104" si="5">J69+IF(ISNUMBER(F70),F70-IFERROR(G70,0),0)</f>
        <v>0</v>
      </c>
      <c r="K70" s="49"/>
    </row>
    <row r="71" spans="1:11" x14ac:dyDescent="0.3">
      <c r="A71" s="36">
        <v>67</v>
      </c>
      <c r="B71" s="20"/>
      <c r="C71" s="20"/>
      <c r="D71" s="20"/>
      <c r="E71" s="20"/>
      <c r="F71" s="51"/>
      <c r="G71" s="51"/>
      <c r="H71" s="51"/>
      <c r="I71" s="89" t="str">
        <f t="shared" si="4"/>
        <v/>
      </c>
      <c r="J71" s="90">
        <f t="shared" si="5"/>
        <v>0</v>
      </c>
      <c r="K71" s="49"/>
    </row>
    <row r="72" spans="1:11" x14ac:dyDescent="0.3">
      <c r="A72" s="36">
        <v>68</v>
      </c>
      <c r="B72" s="91"/>
      <c r="C72" s="91"/>
      <c r="D72" s="91"/>
      <c r="E72" s="91"/>
      <c r="F72" s="74"/>
      <c r="G72" s="74"/>
      <c r="H72" s="74"/>
      <c r="I72" s="89" t="str">
        <f t="shared" si="4"/>
        <v/>
      </c>
      <c r="J72" s="90">
        <f t="shared" si="5"/>
        <v>0</v>
      </c>
      <c r="K72" s="49"/>
    </row>
    <row r="73" spans="1:11" x14ac:dyDescent="0.3">
      <c r="A73" s="36">
        <v>69</v>
      </c>
      <c r="B73" s="20"/>
      <c r="C73" s="20"/>
      <c r="D73" s="20"/>
      <c r="E73" s="20"/>
      <c r="F73" s="51"/>
      <c r="G73" s="51"/>
      <c r="H73" s="51"/>
      <c r="I73" s="89" t="str">
        <f t="shared" si="4"/>
        <v/>
      </c>
      <c r="J73" s="90">
        <f t="shared" si="5"/>
        <v>0</v>
      </c>
      <c r="K73" s="49"/>
    </row>
    <row r="74" spans="1:11" x14ac:dyDescent="0.3">
      <c r="A74" s="36">
        <v>70</v>
      </c>
      <c r="B74" s="91"/>
      <c r="C74" s="91"/>
      <c r="D74" s="91"/>
      <c r="E74" s="91"/>
      <c r="F74" s="74"/>
      <c r="G74" s="74"/>
      <c r="H74" s="74"/>
      <c r="I74" s="89" t="str">
        <f t="shared" si="4"/>
        <v/>
      </c>
      <c r="J74" s="90">
        <f t="shared" si="5"/>
        <v>0</v>
      </c>
      <c r="K74" s="49"/>
    </row>
    <row r="75" spans="1:11" x14ac:dyDescent="0.3">
      <c r="A75" s="36">
        <v>71</v>
      </c>
      <c r="B75" s="20"/>
      <c r="C75" s="20"/>
      <c r="D75" s="20"/>
      <c r="E75" s="20"/>
      <c r="F75" s="51"/>
      <c r="G75" s="51"/>
      <c r="H75" s="51"/>
      <c r="I75" s="89" t="str">
        <f t="shared" si="4"/>
        <v/>
      </c>
      <c r="J75" s="90">
        <f t="shared" si="5"/>
        <v>0</v>
      </c>
      <c r="K75" s="49"/>
    </row>
    <row r="76" spans="1:11" x14ac:dyDescent="0.3">
      <c r="A76" s="36">
        <v>72</v>
      </c>
      <c r="B76" s="91"/>
      <c r="C76" s="91"/>
      <c r="D76" s="91"/>
      <c r="E76" s="91"/>
      <c r="F76" s="74"/>
      <c r="G76" s="74"/>
      <c r="H76" s="74"/>
      <c r="I76" s="89" t="str">
        <f t="shared" si="4"/>
        <v/>
      </c>
      <c r="J76" s="90">
        <f t="shared" si="5"/>
        <v>0</v>
      </c>
      <c r="K76" s="49"/>
    </row>
    <row r="77" spans="1:11" x14ac:dyDescent="0.3">
      <c r="A77" s="36">
        <v>73</v>
      </c>
      <c r="B77" s="20"/>
      <c r="C77" s="20"/>
      <c r="D77" s="20"/>
      <c r="E77" s="20"/>
      <c r="F77" s="51"/>
      <c r="G77" s="51"/>
      <c r="H77" s="51"/>
      <c r="I77" s="89" t="str">
        <f t="shared" si="4"/>
        <v/>
      </c>
      <c r="J77" s="90">
        <f t="shared" si="5"/>
        <v>0</v>
      </c>
      <c r="K77" s="49"/>
    </row>
    <row r="78" spans="1:11" x14ac:dyDescent="0.3">
      <c r="A78" s="36">
        <v>74</v>
      </c>
      <c r="B78" s="91"/>
      <c r="C78" s="91"/>
      <c r="D78" s="91"/>
      <c r="E78" s="91"/>
      <c r="F78" s="74"/>
      <c r="G78" s="74"/>
      <c r="H78" s="74"/>
      <c r="I78" s="89" t="str">
        <f t="shared" si="4"/>
        <v/>
      </c>
      <c r="J78" s="90">
        <f t="shared" si="5"/>
        <v>0</v>
      </c>
      <c r="K78" s="49"/>
    </row>
    <row r="79" spans="1:11" x14ac:dyDescent="0.3">
      <c r="A79" s="36">
        <v>75</v>
      </c>
      <c r="B79" s="20"/>
      <c r="C79" s="20"/>
      <c r="D79" s="20"/>
      <c r="E79" s="20"/>
      <c r="F79" s="51"/>
      <c r="G79" s="51"/>
      <c r="H79" s="51"/>
      <c r="I79" s="89" t="str">
        <f t="shared" si="4"/>
        <v/>
      </c>
      <c r="J79" s="90">
        <f t="shared" si="5"/>
        <v>0</v>
      </c>
      <c r="K79" s="49"/>
    </row>
    <row r="80" spans="1:11" x14ac:dyDescent="0.3">
      <c r="A80" s="36">
        <v>76</v>
      </c>
      <c r="B80" s="91"/>
      <c r="C80" s="91"/>
      <c r="D80" s="91"/>
      <c r="E80" s="91"/>
      <c r="F80" s="74"/>
      <c r="G80" s="74"/>
      <c r="H80" s="74"/>
      <c r="I80" s="89" t="str">
        <f t="shared" si="4"/>
        <v/>
      </c>
      <c r="J80" s="90">
        <f t="shared" si="5"/>
        <v>0</v>
      </c>
      <c r="K80" s="49"/>
    </row>
    <row r="81" spans="1:11" x14ac:dyDescent="0.3">
      <c r="A81" s="36">
        <v>77</v>
      </c>
      <c r="B81" s="20"/>
      <c r="C81" s="20"/>
      <c r="D81" s="20"/>
      <c r="E81" s="20"/>
      <c r="F81" s="51"/>
      <c r="G81" s="51"/>
      <c r="H81" s="51"/>
      <c r="I81" s="89" t="str">
        <f t="shared" si="4"/>
        <v/>
      </c>
      <c r="J81" s="90">
        <f t="shared" si="5"/>
        <v>0</v>
      </c>
      <c r="K81" s="49"/>
    </row>
    <row r="82" spans="1:11" x14ac:dyDescent="0.3">
      <c r="A82" s="36">
        <v>78</v>
      </c>
      <c r="B82" s="91"/>
      <c r="C82" s="91"/>
      <c r="D82" s="91"/>
      <c r="E82" s="91"/>
      <c r="F82" s="74"/>
      <c r="G82" s="74"/>
      <c r="H82" s="74"/>
      <c r="I82" s="89" t="str">
        <f t="shared" si="4"/>
        <v/>
      </c>
      <c r="J82" s="90">
        <f t="shared" si="5"/>
        <v>0</v>
      </c>
      <c r="K82" s="49"/>
    </row>
    <row r="83" spans="1:11" x14ac:dyDescent="0.3">
      <c r="A83" s="36">
        <v>79</v>
      </c>
      <c r="B83" s="20"/>
      <c r="C83" s="20"/>
      <c r="D83" s="20"/>
      <c r="E83" s="20"/>
      <c r="F83" s="51"/>
      <c r="G83" s="51"/>
      <c r="H83" s="51"/>
      <c r="I83" s="89" t="str">
        <f t="shared" si="4"/>
        <v/>
      </c>
      <c r="J83" s="90">
        <f t="shared" si="5"/>
        <v>0</v>
      </c>
      <c r="K83" s="49"/>
    </row>
    <row r="84" spans="1:11" x14ac:dyDescent="0.3">
      <c r="A84" s="36">
        <v>80</v>
      </c>
      <c r="B84" s="91"/>
      <c r="C84" s="91"/>
      <c r="D84" s="91"/>
      <c r="E84" s="91"/>
      <c r="F84" s="74"/>
      <c r="G84" s="74"/>
      <c r="H84" s="74"/>
      <c r="I84" s="89" t="str">
        <f t="shared" si="4"/>
        <v/>
      </c>
      <c r="J84" s="90">
        <f t="shared" si="5"/>
        <v>0</v>
      </c>
      <c r="K84" s="49"/>
    </row>
    <row r="85" spans="1:11" x14ac:dyDescent="0.3">
      <c r="A85" s="36">
        <v>81</v>
      </c>
      <c r="B85" s="20"/>
      <c r="C85" s="20"/>
      <c r="D85" s="20"/>
      <c r="E85" s="20"/>
      <c r="F85" s="51"/>
      <c r="G85" s="51"/>
      <c r="H85" s="51"/>
      <c r="I85" s="89" t="str">
        <f t="shared" si="4"/>
        <v/>
      </c>
      <c r="J85" s="90">
        <f t="shared" si="5"/>
        <v>0</v>
      </c>
      <c r="K85" s="49"/>
    </row>
    <row r="86" spans="1:11" x14ac:dyDescent="0.3">
      <c r="A86" s="36">
        <v>82</v>
      </c>
      <c r="B86" s="91"/>
      <c r="C86" s="91"/>
      <c r="D86" s="91"/>
      <c r="E86" s="91"/>
      <c r="F86" s="74"/>
      <c r="G86" s="74"/>
      <c r="H86" s="74"/>
      <c r="I86" s="89" t="str">
        <f t="shared" si="4"/>
        <v/>
      </c>
      <c r="J86" s="90">
        <f t="shared" si="5"/>
        <v>0</v>
      </c>
      <c r="K86" s="49"/>
    </row>
    <row r="87" spans="1:11" x14ac:dyDescent="0.3">
      <c r="A87" s="36">
        <v>83</v>
      </c>
      <c r="B87" s="20"/>
      <c r="C87" s="20"/>
      <c r="D87" s="20"/>
      <c r="E87" s="20"/>
      <c r="F87" s="51"/>
      <c r="G87" s="51"/>
      <c r="H87" s="51"/>
      <c r="I87" s="89" t="str">
        <f t="shared" si="4"/>
        <v/>
      </c>
      <c r="J87" s="90">
        <f t="shared" si="5"/>
        <v>0</v>
      </c>
      <c r="K87" s="49"/>
    </row>
    <row r="88" spans="1:11" x14ac:dyDescent="0.3">
      <c r="A88" s="36">
        <v>84</v>
      </c>
      <c r="B88" s="91"/>
      <c r="C88" s="91"/>
      <c r="D88" s="91"/>
      <c r="E88" s="91"/>
      <c r="F88" s="74"/>
      <c r="G88" s="74"/>
      <c r="H88" s="74"/>
      <c r="I88" s="89" t="str">
        <f t="shared" si="4"/>
        <v/>
      </c>
      <c r="J88" s="90">
        <f t="shared" si="5"/>
        <v>0</v>
      </c>
      <c r="K88" s="49"/>
    </row>
    <row r="89" spans="1:11" x14ac:dyDescent="0.3">
      <c r="A89" s="36">
        <v>85</v>
      </c>
      <c r="B89" s="20"/>
      <c r="C89" s="20"/>
      <c r="D89" s="20"/>
      <c r="E89" s="20"/>
      <c r="F89" s="51"/>
      <c r="G89" s="51"/>
      <c r="H89" s="51"/>
      <c r="I89" s="89" t="str">
        <f t="shared" si="4"/>
        <v/>
      </c>
      <c r="J89" s="90">
        <f t="shared" si="5"/>
        <v>0</v>
      </c>
      <c r="K89" s="49"/>
    </row>
    <row r="90" spans="1:11" x14ac:dyDescent="0.3">
      <c r="A90" s="36">
        <v>86</v>
      </c>
      <c r="B90" s="91"/>
      <c r="C90" s="91"/>
      <c r="D90" s="91"/>
      <c r="E90" s="91"/>
      <c r="F90" s="74"/>
      <c r="G90" s="74"/>
      <c r="H90" s="74"/>
      <c r="I90" s="89" t="str">
        <f t="shared" si="4"/>
        <v/>
      </c>
      <c r="J90" s="90">
        <f t="shared" si="5"/>
        <v>0</v>
      </c>
      <c r="K90" s="49"/>
    </row>
    <row r="91" spans="1:11" x14ac:dyDescent="0.3">
      <c r="A91" s="36">
        <v>87</v>
      </c>
      <c r="B91" s="20"/>
      <c r="C91" s="20"/>
      <c r="D91" s="20"/>
      <c r="E91" s="20"/>
      <c r="F91" s="51"/>
      <c r="G91" s="51"/>
      <c r="H91" s="51"/>
      <c r="I91" s="89" t="str">
        <f t="shared" si="4"/>
        <v/>
      </c>
      <c r="J91" s="90">
        <f t="shared" si="5"/>
        <v>0</v>
      </c>
      <c r="K91" s="49"/>
    </row>
    <row r="92" spans="1:11" x14ac:dyDescent="0.3">
      <c r="A92" s="36">
        <v>88</v>
      </c>
      <c r="B92" s="91"/>
      <c r="C92" s="91"/>
      <c r="D92" s="91"/>
      <c r="E92" s="91"/>
      <c r="F92" s="74"/>
      <c r="G92" s="74"/>
      <c r="H92" s="74"/>
      <c r="I92" s="89" t="str">
        <f t="shared" si="4"/>
        <v/>
      </c>
      <c r="J92" s="90">
        <f t="shared" si="5"/>
        <v>0</v>
      </c>
      <c r="K92" s="49"/>
    </row>
    <row r="93" spans="1:11" x14ac:dyDescent="0.3">
      <c r="A93" s="36">
        <v>89</v>
      </c>
      <c r="B93" s="20"/>
      <c r="C93" s="20"/>
      <c r="D93" s="20"/>
      <c r="E93" s="20"/>
      <c r="F93" s="51"/>
      <c r="G93" s="51"/>
      <c r="H93" s="51"/>
      <c r="I93" s="89" t="str">
        <f t="shared" si="4"/>
        <v/>
      </c>
      <c r="J93" s="90">
        <f t="shared" si="5"/>
        <v>0</v>
      </c>
      <c r="K93" s="49"/>
    </row>
    <row r="94" spans="1:11" x14ac:dyDescent="0.3">
      <c r="A94" s="36">
        <v>90</v>
      </c>
      <c r="B94" s="91"/>
      <c r="C94" s="91"/>
      <c r="D94" s="91"/>
      <c r="E94" s="91"/>
      <c r="F94" s="74"/>
      <c r="G94" s="74"/>
      <c r="H94" s="74"/>
      <c r="I94" s="89" t="str">
        <f t="shared" si="4"/>
        <v/>
      </c>
      <c r="J94" s="90">
        <f t="shared" si="5"/>
        <v>0</v>
      </c>
      <c r="K94" s="49"/>
    </row>
    <row r="95" spans="1:11" x14ac:dyDescent="0.3">
      <c r="A95" s="36">
        <v>91</v>
      </c>
      <c r="B95" s="20"/>
      <c r="C95" s="20"/>
      <c r="D95" s="20"/>
      <c r="E95" s="20"/>
      <c r="F95" s="51"/>
      <c r="G95" s="51"/>
      <c r="H95" s="51"/>
      <c r="I95" s="89" t="str">
        <f t="shared" si="4"/>
        <v/>
      </c>
      <c r="J95" s="90">
        <f t="shared" si="5"/>
        <v>0</v>
      </c>
      <c r="K95" s="49"/>
    </row>
    <row r="96" spans="1:11" x14ac:dyDescent="0.3">
      <c r="A96" s="36">
        <v>92</v>
      </c>
      <c r="B96" s="91"/>
      <c r="C96" s="91"/>
      <c r="D96" s="91"/>
      <c r="E96" s="91"/>
      <c r="F96" s="74"/>
      <c r="G96" s="74"/>
      <c r="H96" s="74"/>
      <c r="I96" s="89" t="str">
        <f t="shared" si="4"/>
        <v/>
      </c>
      <c r="J96" s="90">
        <f t="shared" si="5"/>
        <v>0</v>
      </c>
      <c r="K96" s="49"/>
    </row>
    <row r="97" spans="1:11" x14ac:dyDescent="0.3">
      <c r="A97" s="36">
        <v>93</v>
      </c>
      <c r="B97" s="20"/>
      <c r="C97" s="20"/>
      <c r="D97" s="20"/>
      <c r="E97" s="20"/>
      <c r="F97" s="51"/>
      <c r="G97" s="51"/>
      <c r="H97" s="51"/>
      <c r="I97" s="89" t="str">
        <f t="shared" si="4"/>
        <v/>
      </c>
      <c r="J97" s="90">
        <f t="shared" si="5"/>
        <v>0</v>
      </c>
      <c r="K97" s="49"/>
    </row>
    <row r="98" spans="1:11" x14ac:dyDescent="0.3">
      <c r="A98" s="36">
        <v>94</v>
      </c>
      <c r="B98" s="91"/>
      <c r="C98" s="91"/>
      <c r="D98" s="91"/>
      <c r="E98" s="91"/>
      <c r="F98" s="74"/>
      <c r="G98" s="74"/>
      <c r="H98" s="74"/>
      <c r="I98" s="89" t="str">
        <f t="shared" si="4"/>
        <v/>
      </c>
      <c r="J98" s="90">
        <f t="shared" si="5"/>
        <v>0</v>
      </c>
      <c r="K98" s="49"/>
    </row>
    <row r="99" spans="1:11" x14ac:dyDescent="0.3">
      <c r="A99" s="36">
        <v>95</v>
      </c>
      <c r="B99" s="20"/>
      <c r="C99" s="20"/>
      <c r="D99" s="20"/>
      <c r="E99" s="20"/>
      <c r="F99" s="51"/>
      <c r="G99" s="51"/>
      <c r="H99" s="51"/>
      <c r="I99" s="89" t="str">
        <f t="shared" si="4"/>
        <v/>
      </c>
      <c r="J99" s="90">
        <f t="shared" si="5"/>
        <v>0</v>
      </c>
      <c r="K99" s="49"/>
    </row>
    <row r="100" spans="1:11" x14ac:dyDescent="0.3">
      <c r="A100" s="36">
        <v>96</v>
      </c>
      <c r="B100" s="91"/>
      <c r="C100" s="91"/>
      <c r="D100" s="91"/>
      <c r="E100" s="91"/>
      <c r="F100" s="74"/>
      <c r="G100" s="74"/>
      <c r="H100" s="74"/>
      <c r="I100" s="89" t="str">
        <f t="shared" si="4"/>
        <v/>
      </c>
      <c r="J100" s="90">
        <f t="shared" si="5"/>
        <v>0</v>
      </c>
      <c r="K100" s="49"/>
    </row>
    <row r="101" spans="1:11" x14ac:dyDescent="0.3">
      <c r="A101" s="36">
        <v>97</v>
      </c>
      <c r="B101" s="20"/>
      <c r="C101" s="20"/>
      <c r="D101" s="20"/>
      <c r="E101" s="20"/>
      <c r="F101" s="51"/>
      <c r="G101" s="51"/>
      <c r="H101" s="51"/>
      <c r="I101" s="89" t="str">
        <f t="shared" ref="I101:I132" si="6">IF(ISNUMBER(G101),IFERROR(G101,0)+IFERROR(H101,0),"")</f>
        <v/>
      </c>
      <c r="J101" s="90">
        <f t="shared" si="5"/>
        <v>0</v>
      </c>
      <c r="K101" s="49"/>
    </row>
    <row r="102" spans="1:11" x14ac:dyDescent="0.3">
      <c r="A102" s="36">
        <v>98</v>
      </c>
      <c r="B102" s="91"/>
      <c r="C102" s="91"/>
      <c r="D102" s="91"/>
      <c r="E102" s="91"/>
      <c r="F102" s="74"/>
      <c r="G102" s="74"/>
      <c r="H102" s="74"/>
      <c r="I102" s="89" t="str">
        <f t="shared" si="6"/>
        <v/>
      </c>
      <c r="J102" s="90">
        <f t="shared" si="5"/>
        <v>0</v>
      </c>
      <c r="K102" s="49"/>
    </row>
    <row r="103" spans="1:11" x14ac:dyDescent="0.3">
      <c r="A103" s="36">
        <v>99</v>
      </c>
      <c r="B103" s="20"/>
      <c r="C103" s="20"/>
      <c r="D103" s="20"/>
      <c r="E103" s="20"/>
      <c r="F103" s="51"/>
      <c r="G103" s="51"/>
      <c r="H103" s="51"/>
      <c r="I103" s="89" t="str">
        <f t="shared" si="6"/>
        <v/>
      </c>
      <c r="J103" s="90">
        <f t="shared" si="5"/>
        <v>0</v>
      </c>
      <c r="K103" s="49"/>
    </row>
    <row r="104" spans="1:11" x14ac:dyDescent="0.3">
      <c r="A104" s="36">
        <v>100</v>
      </c>
      <c r="B104" s="91"/>
      <c r="C104" s="91"/>
      <c r="D104" s="91"/>
      <c r="E104" s="91"/>
      <c r="F104" s="74"/>
      <c r="G104" s="74"/>
      <c r="H104" s="74"/>
      <c r="I104" s="89" t="str">
        <f t="shared" si="6"/>
        <v/>
      </c>
      <c r="J104" s="90">
        <f t="shared" si="5"/>
        <v>0</v>
      </c>
      <c r="K104" s="49"/>
    </row>
    <row r="105" spans="1:11" x14ac:dyDescent="0.3">
      <c r="A105" s="123" t="s">
        <v>215</v>
      </c>
      <c r="B105" s="94"/>
      <c r="C105" s="94"/>
      <c r="D105" s="94"/>
      <c r="E105" s="94"/>
      <c r="F105" s="92">
        <f>IFERROR(SUM(F5:F104),0)</f>
        <v>0</v>
      </c>
      <c r="G105" s="92">
        <f>IFERROR(SUM(G5:G104),0)</f>
        <v>0</v>
      </c>
      <c r="H105" s="92">
        <f>IFERROR(SUM(H5:H104),0)</f>
        <v>0</v>
      </c>
      <c r="I105" s="61">
        <f>IFERROR(SUM(I5:I104),0)</f>
        <v>0</v>
      </c>
      <c r="J105" s="22">
        <f>IFERROR(J104,0)</f>
        <v>0</v>
      </c>
    </row>
  </sheetData>
  <mergeCells count="3">
    <mergeCell ref="A2:K2"/>
    <mergeCell ref="A105:E105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Settings</vt:lpstr>
      <vt:lpstr>Apr 26</vt:lpstr>
      <vt:lpstr>May 26</vt:lpstr>
      <vt:lpstr>Jun 26</vt:lpstr>
      <vt:lpstr>Jul 26</vt:lpstr>
      <vt:lpstr>Aug 26</vt:lpstr>
      <vt:lpstr>Sep 26</vt:lpstr>
      <vt:lpstr>Oct 26</vt:lpstr>
      <vt:lpstr>Nov 26</vt:lpstr>
      <vt:lpstr>Dec 26</vt:lpstr>
      <vt:lpstr>Jan 27</vt:lpstr>
      <vt:lpstr>Feb 27</vt:lpstr>
      <vt:lpstr>Mar 27</vt:lpstr>
      <vt:lpstr>Rented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Gururaj Fattepur</cp:lastModifiedBy>
  <dcterms:created xsi:type="dcterms:W3CDTF">2026-05-01T10:09:24Z</dcterms:created>
  <dcterms:modified xsi:type="dcterms:W3CDTF">2026-05-01T10:42:27Z</dcterms:modified>
</cp:coreProperties>
</file>